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d95408aec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概览" sheetId="1" r:id="Rb75106f37b194384"/>
    <x:sheet xmlns:r="http://schemas.openxmlformats.org/officeDocument/2006/relationships" name="Index" sheetId="2" r:id="R9d662c468ec944ee"/>
    <x:sheet xmlns:r="http://schemas.openxmlformats.org/officeDocument/2006/relationships" name="体验问卷大表" sheetId="3" r:id="Rd67ee8064ed24d74"/>
    <x:sheet xmlns:r="http://schemas.openxmlformats.org/officeDocument/2006/relationships" name="体验问卷显著性检验" sheetId="4" r:id="R1a91b75d01194a54"/>
    <x:sheet xmlns:r="http://schemas.openxmlformats.org/officeDocument/2006/relationships" name="说明" sheetId="5" r:id="Rcb5569abdb2644dc"/>
    <x:sheet xmlns:r="http://schemas.openxmlformats.org/officeDocument/2006/relationships" name="变量映射" sheetId="6" r:id="R2a99448e3de7421b"/>
    <x:sheet xmlns:r="http://schemas.openxmlformats.org/officeDocument/2006/relationships" name="数据质量" sheetId="7" r:id="R04f06a318ed1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9">
    <x:numFmt numFmtId="200" formatCode="#,##0"/>
    <x:numFmt numFmtId="201" formatCode="#,##0&quot; †&quot;"/>
    <x:numFmt numFmtId="202" formatCode="0.0%"/>
    <x:numFmt numFmtId="203" formatCode="0.0%&quot; †&quot;"/>
    <x:numFmt numFmtId="204" formatCode="0.0"/>
    <x:numFmt numFmtId="205" formatCode="0.0&quot; †&quot;"/>
    <x:numFmt numFmtId="206" formatCode="0"/>
    <x:numFmt numFmtId="207" formatCode="0&quot; †&quot;"/>
    <x:numFmt numFmtId="208" formatCode="0.0%&quot; C&quot;"/>
    <x:numFmt numFmtId="209" formatCode="0.0%&quot; B ‡&quot;"/>
    <x:numFmt numFmtId="210" formatCode="0.0%&quot; ‡&quot;"/>
    <x:numFmt numFmtId="211" formatCode="0.0%&quot; B&quot;"/>
    <x:numFmt numFmtId="212" formatCode="0.0%&quot; B、D †&quot;"/>
    <x:numFmt numFmtId="213" formatCode="0.0%&quot; A ‡&quot;"/>
    <x:numFmt numFmtId="214" formatCode="0.0%&quot; A&quot;"/>
    <x:numFmt numFmtId="215" formatCode="0.0%&quot; B、C、D ‡&quot;"/>
    <x:numFmt numFmtId="216" formatCode="0.0%&quot; † ‡&quot;"/>
    <x:numFmt numFmtId="217" formatCode="0.0%&quot; A、C、D ‡&quot;"/>
    <x:numFmt numFmtId="218" formatCode="0.0%&quot; A、B、D † ‡&quot;"/>
    <x:numFmt numFmtId="219" formatCode="0.0%&quot; A、B、C ‡&quot;"/>
    <x:numFmt numFmtId="220" formatCode="0.0&quot; B、D&quot;"/>
    <x:numFmt numFmtId="221" formatCode="0.0&quot; D&quot;"/>
    <x:numFmt numFmtId="222" formatCode="0.0&quot; D †&quot;"/>
    <x:numFmt numFmtId="223" formatCode="0.0&quot; A&quot;"/>
    <x:numFmt numFmtId="224" formatCode="0.0&quot; B ‡&quot;"/>
    <x:numFmt numFmtId="225" formatCode="0.0&quot; ‡&quot;"/>
    <x:numFmt numFmtId="226" formatCode="0.0&quot; B&quot;"/>
    <x:numFmt numFmtId="227" formatCode="0.0%&quot; B、D&quot;"/>
    <x:numFmt numFmtId="228" formatCode="0.0%&quot; D&quot;"/>
    <x:numFmt numFmtId="229" formatCode="0.0%&quot; D †&quot;"/>
    <x:numFmt numFmtId="230" formatCode="0.0%&quot; A、B、C&quot;"/>
    <x:numFmt numFmtId="231" formatCode="0.0%&quot; A、B&quot;"/>
    <x:numFmt numFmtId="232" formatCode="0.0&quot; B、C、D&quot;"/>
    <x:numFmt numFmtId="233" formatCode="0.0%&quot; B、C、D&quot;"/>
    <x:numFmt numFmtId="234" formatCode="0.0%&quot; A †&quot;"/>
    <x:numFmt numFmtId="235" formatCode="0.0&quot; B、D †&quot;"/>
    <x:numFmt numFmtId="236" formatCode="0.0%&quot; A、D †&quot;"/>
    <x:numFmt numFmtId="237" formatCode="0&quot; B、C、D&quot;"/>
    <x:numFmt numFmtId="238" formatCode="0&quot; D&quot;"/>
    <x:numFmt numFmtId="239" formatCode="0&quot; D †&quot;"/>
    <x:numFmt numFmtId="240" formatCode="0&quot; B&quot;"/>
    <x:numFmt numFmtId="241" formatCode="0&quot; B ‡&quot;"/>
    <x:numFmt numFmtId="242" formatCode="0&quot; ‡&quot;"/>
    <x:numFmt numFmtId="243" formatCode="0.0%&quot; A、D&quot;"/>
    <x:numFmt numFmtId="244" formatCode="0.0&quot; C&quot;"/>
    <x:numFmt numFmtId="245" formatCode="0.0%&quot; A、C&quot;"/>
    <x:numFmt numFmtId="246" formatCode="0.0&quot; A、B †&quot;"/>
    <x:numFmt numFmtId="247" formatCode="0.0&quot; A †&quot;"/>
    <x:numFmt numFmtId="248" formatCode="0.0&quot; B †&quot;"/>
  </x:numFmts>
  <x:fonts count="12">
    <x:font>
      <x:sz val="11"/>
      <x:name val="Carlito"/>
    </x:font>
    <x:font>
      <x:b/>
      <x:sz val="15"/>
      <x:color rgb="FF24415B"/>
      <x:name val="Calibri"/>
    </x:font>
    <x:font>
      <x:sz val="9"/>
      <x:color rgb="FF52616D"/>
      <x:name val="Calibri"/>
    </x:font>
    <x:font>
      <x:sz val="10"/>
      <x:color rgb="FF263645"/>
      <x:name val="Calibri"/>
    </x:font>
    <x:font>
      <x:b/>
      <x:sz val="10"/>
      <x:color rgb="FF24415B"/>
      <x:name val="Calibri"/>
    </x:font>
    <x:font>
      <x:b/>
      <x:sz val="9"/>
      <x:color rgb="FF0070C0"/>
      <x:name val="Calibri"/>
    </x:font>
    <x:font>
      <x:b/>
      <x:sz val="10"/>
      <x:color rgb="FF0070C0"/>
      <x:name val="Calibri"/>
    </x:font>
    <x:font>
      <x:b/>
      <x:sz val="10"/>
      <x:color rgb="FF7030A0"/>
      <x:name val="Calibri"/>
    </x:font>
    <x:font>
      <x:sz val="10"/>
      <x:color rgb="FF9C6500"/>
      <x:name val="Calibri"/>
    </x:font>
    <x:font>
      <x:b/>
      <x:sz val="10"/>
      <x:color rgb="FF9C6500"/>
      <x:name val="Calibri"/>
    </x:font>
    <x:font>
      <x:sz val="10"/>
      <x:color rgb="FF0070C0"/>
      <x:name val="Calibri"/>
    </x:font>
    <x:font>
      <x:sz val="10"/>
      <x:color rgb="FF596D7B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F0F2F4"/>
      </x:patternFill>
    </x:fill>
    <x:fill>
      <x:patternFill patternType="solid">
        <x:fgColor rgb="FFFCE4D6"/>
      </x:patternFill>
    </x:fill>
    <x:fill>
      <x:patternFill patternType="solid">
        <x:fgColor rgb="FFE0EBF2"/>
      </x:patternFill>
    </x:fill>
    <x:fill>
      <x:patternFill patternType="solid">
        <x:fgColor rgb="FFE6E1F0"/>
      </x:patternFill>
    </x:fill>
    <x:fill>
      <x:patternFill patternType="solid">
        <x:fgColor rgb="FFF7F9FB"/>
      </x:patternFill>
    </x:fill>
    <x:fill>
      <x:patternFill patternType="solid">
        <x:fgColor rgb="FFE1F0F4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E1EAF1"/>
      </x:patternFill>
    </x:fill>
  </x:fills>
  <x:borders count="9">
    <x:border/>
    <x:border>
      <x:left style="thin">
        <x:color rgb="FFB8C3CD"/>
      </x:left>
      <x:right style="thin">
        <x:color rgb="FFB8C3CD"/>
      </x:right>
      <x:top style="thin">
        <x:color rgb="FFB8C3CD"/>
      </x:top>
      <x:bottom style="thin">
        <x:color rgb="FFB8C3CD"/>
      </x:bottom>
    </x:border>
    <x:border>
      <x:top style="medium">
        <x:color rgb="FFB8C3CD"/>
      </x:top>
    </x:border>
    <x:border>
      <x:left style="medium">
        <x:color rgb="FF7D91A2"/>
      </x:left>
      <x:right style="thin">
        <x:color rgb="FFB8C3CD"/>
      </x:right>
      <x:top style="thin">
        <x:color rgb="FFB8C3CD"/>
      </x:top>
      <x:bottom style="thin">
        <x:color rgb="FFB8C3CD"/>
      </x:bottom>
    </x:border>
    <x:border>
      <x:left style="medium">
        <x:color rgb="FF7D91A2"/>
      </x:left>
      <x:right style="thin">
        <x:color rgb="FFB8C3CD"/>
      </x:right>
    </x:border>
    <x:border>
      <x:left style="medium">
        <x:color rgb="FF7D91A2"/>
      </x:left>
      <x:right style="thin">
        <x:color rgb="FFB8C3CD"/>
      </x:right>
      <x:top style="medium">
        <x:color rgb="FFB8C3CD"/>
      </x:top>
      <x:bottom style="thin">
        <x:color rgb="FFB8C3CD"/>
      </x:bottom>
    </x:border>
    <x:border>
      <x:left style="thin">
        <x:color rgb="FFB8C3CD"/>
      </x:left>
      <x:right style="thin">
        <x:color rgb="FFB8C3CD"/>
      </x:right>
      <x:top style="thin">
        <x:color rgb="FF71879A"/>
      </x:top>
      <x:bottom style="thin">
        <x:color rgb="FFB8C3CD"/>
      </x:bottom>
    </x:border>
    <x:border>
      <x:left style="medium">
        <x:color rgb="FF7D91A2"/>
      </x:left>
      <x:right style="thin">
        <x:color rgb="FFB8C3CD"/>
      </x:right>
      <x:top style="thin">
        <x:color rgb="FF71879A"/>
      </x:top>
      <x:bottom style="thin">
        <x:color rgb="FFB8C3CD"/>
      </x:bottom>
    </x:border>
    <x:border>
      <x:left style="medium">
        <x:color rgb="FF7D91A2"/>
      </x:left>
      <x:right style="thin">
        <x:color rgb="FFB8C3CD"/>
      </x:right>
      <x:bottom style="thin">
        <x:color rgb="FFB8C3CD"/>
      </x:bottom>
    </x:border>
  </x:borders>
  <x:cellStyleXfs count="1">
    <x:xf numFmtId="0" fontId="0" fillId="0" borderId="0"/>
  </x:cellStyleXfs>
  <x:cellXfs count="2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center" vertical="center"/>
    </x:xf>
    <x:xf numFmtId="202" fontId="3" fillId="2" borderId="1" xfId="0" applyNumberFormat="1" applyFont="1" applyFill="1" applyBorder="1" applyAlignment="1">
      <x:alignment horizontal="center" vertical="center"/>
    </x:xf>
    <x:xf numFmtId="202" fontId="3" fillId="0" borderId="1" xfId="0" applyNumberFormat="1" applyFont="1" applyFill="1" applyBorder="1" applyAlignment="1">
      <x:alignment horizontal="center" vertical="center"/>
    </x:xf>
    <x:xf numFmtId="202" fontId="3" fillId="7" borderId="1" xfId="0" applyNumberFormat="1" applyFont="1" applyFill="1" applyBorder="1" applyAlignment="1">
      <x:alignment horizontal="center" vertical="center"/>
    </x:xf>
    <x:xf numFmtId="203" fontId="3" fillId="0" borderId="1" xfId="0" applyNumberFormat="1" applyFont="1" applyFill="1" applyBorder="1" applyAlignment="1">
      <x:alignment horizontal="center" vertical="center"/>
    </x:xf>
    <x:xf numFmtId="203" fontId="3" fillId="7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0" borderId="2" xfId="0" applyNumberFormat="1" applyFont="1" applyFill="1" applyBorder="1"/>
    <x:xf numFmtId="202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horizontal="center"/>
    </x:xf>
    <x:xf numFmtId="202" fontId="3" fillId="0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 vertical="center"/>
    </x:xf>
    <x:xf numFmtId="202" fontId="3" fillId="0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 wrapText="1"/>
    </x:xf>
    <x:xf numFmtId="200" fontId="3" fillId="0" borderId="3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 wrapText="1"/>
    </x:xf>
    <x:xf numFmtId="202" fontId="3" fillId="7" borderId="3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left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4" fillId="8" borderId="1" xfId="0" applyNumberFormat="1" applyFont="1" applyFill="1" applyBorder="1" applyAlignment="1">
      <x:alignment horizontal="left" vertic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4" fillId="8" borderId="6" xfId="0" applyNumberFormat="1" applyFont="1" applyFill="1" applyBorder="1" applyAlignment="1">
      <x:alignment horizontal="left" vertical="center"/>
    </x:xf>
    <x:xf numFmtId="0" fontId="4" fillId="8" borderId="6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204" fontId="4" fillId="2" borderId="6" xfId="0" applyNumberFormat="1" applyFont="1" applyFill="1" applyBorder="1" applyAlignment="1">
      <x:alignment horizontal="center" vertical="center"/>
    </x:xf>
    <x:xf numFmtId="204" fontId="4" fillId="8" borderId="6" xfId="0" applyNumberFormat="1" applyFont="1" applyFill="1" applyBorder="1" applyAlignment="1">
      <x:alignment horizontal="center" vertical="center"/>
    </x:xf>
    <x:xf numFmtId="204" fontId="4" fillId="7" borderId="6" xfId="0" applyNumberFormat="1" applyFont="1" applyFill="1" applyBorder="1" applyAlignment="1">
      <x:alignment horizontal="center" vertical="center"/>
    </x:xf>
    <x:xf numFmtId="205" fontId="4" fillId="8" borderId="6" xfId="0" applyNumberFormat="1" applyFont="1" applyFill="1" applyBorder="1" applyAlignment="1">
      <x:alignment horizontal="center" vertical="center"/>
    </x:xf>
    <x:xf numFmtId="205" fontId="4" fillId="7" borderId="6" xfId="0" applyNumberFormat="1" applyFont="1" applyFill="1" applyBorder="1" applyAlignment="1">
      <x:alignment horizontal="center" vertical="center"/>
    </x:xf>
    <x:xf numFmtId="202" fontId="4" fillId="2" borderId="6" xfId="0" applyNumberFormat="1" applyFont="1" applyFill="1" applyBorder="1" applyAlignment="1">
      <x:alignment horizontal="center" vertical="center"/>
    </x:xf>
    <x:xf numFmtId="202" fontId="4" fillId="8" borderId="6" xfId="0" applyNumberFormat="1" applyFont="1" applyFill="1" applyBorder="1" applyAlignment="1">
      <x:alignment horizontal="center" vertical="center"/>
    </x:xf>
    <x:xf numFmtId="202" fontId="4" fillId="7" borderId="6" xfId="0" applyNumberFormat="1" applyFont="1" applyFill="1" applyBorder="1" applyAlignment="1">
      <x:alignment horizontal="center" vertical="center"/>
    </x:xf>
    <x:xf numFmtId="203" fontId="4" fillId="8" borderId="6" xfId="0" applyNumberFormat="1" applyFont="1" applyFill="1" applyBorder="1" applyAlignment="1">
      <x:alignment horizontal="center" vertical="center"/>
    </x:xf>
    <x:xf numFmtId="203" fontId="4" fillId="7" borderId="6" xfId="0" applyNumberFormat="1" applyFont="1" applyFill="1" applyBorder="1" applyAlignment="1">
      <x:alignment horizontal="center" vertical="center"/>
    </x:xf>
    <x:xf numFmtId="204" fontId="4" fillId="7" borderId="7" xfId="0" applyNumberFormat="1" applyFont="1" applyFill="1" applyBorder="1" applyAlignment="1">
      <x:alignment horizontal="center" vertical="center"/>
    </x:xf>
    <x:xf numFmtId="202" fontId="4" fillId="7" borderId="7" xfId="0" applyNumberFormat="1" applyFont="1" applyFill="1" applyBorder="1" applyAlignment="1">
      <x:alignment horizontal="center" vertical="center"/>
    </x:xf>
    <x:xf numFmtId="202" fontId="4" fillId="8" borderId="7" xfId="0" applyNumberFormat="1" applyFont="1" applyFill="1" applyBorder="1" applyAlignment="1">
      <x:alignment horizontal="center" vertical="center"/>
    </x:xf>
    <x:xf numFmtId="204" fontId="4" fillId="8" borderId="7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center" vertical="center"/>
    </x:xf>
    <x:xf numFmtId="200" fontId="4" fillId="8" borderId="1" xfId="0" applyNumberFormat="1" applyFont="1" applyFill="1" applyBorder="1" applyAlignment="1">
      <x:alignment horizontal="center" vertical="center"/>
    </x:xf>
    <x:xf numFmtId="201" fontId="4" fillId="8" borderId="1" xfId="0" applyNumberFormat="1" applyFont="1" applyFill="1" applyBorder="1" applyAlignment="1">
      <x:alignment horizontal="center" vertical="center"/>
    </x:xf>
    <x:xf numFmtId="200" fontId="4" fillId="8" borderId="3" xfId="0" applyNumberFormat="1" applyFont="1" applyFill="1" applyBorder="1" applyAlignment="1">
      <x:alignment horizontal="center" vertical="center"/>
    </x:xf>
    <x:xf numFmtId="206" fontId="4" fillId="2" borderId="6" xfId="0" applyNumberFormat="1" applyFont="1" applyFill="1" applyBorder="1" applyAlignment="1">
      <x:alignment horizontal="center" vertical="center"/>
    </x:xf>
    <x:xf numFmtId="206" fontId="4" fillId="8" borderId="6" xfId="0" applyNumberFormat="1" applyFont="1" applyFill="1" applyBorder="1" applyAlignment="1">
      <x:alignment horizontal="center" vertical="center"/>
    </x:xf>
    <x:xf numFmtId="206" fontId="4" fillId="7" borderId="6" xfId="0" applyNumberFormat="1" applyFont="1" applyFill="1" applyBorder="1" applyAlignment="1">
      <x:alignment horizontal="center" vertical="center"/>
    </x:xf>
    <x:xf numFmtId="207" fontId="4" fillId="8" borderId="6" xfId="0" applyNumberFormat="1" applyFont="1" applyFill="1" applyBorder="1" applyAlignment="1">
      <x:alignment horizontal="center" vertical="center"/>
    </x:xf>
    <x:xf numFmtId="207" fontId="4" fillId="7" borderId="6" xfId="0" applyNumberFormat="1" applyFont="1" applyFill="1" applyBorder="1" applyAlignment="1">
      <x:alignment horizontal="center" vertical="center"/>
    </x:xf>
    <x:xf numFmtId="206" fontId="4" fillId="7" borderId="7" xfId="0" applyNumberFormat="1" applyFont="1" applyFill="1" applyBorder="1" applyAlignment="1">
      <x:alignment horizontal="center" vertical="center"/>
    </x:xf>
    <x:xf numFmtId="206" fontId="4" fillId="8" borderId="7" xfId="0" applyNumberFormat="1" applyFont="1" applyFill="1" applyBorder="1" applyAlignment="1">
      <x:alignment horizontal="center" vertical="center"/>
    </x:xf>
    <x:xf numFmtId="205" fontId="4" fillId="2" borderId="6" xfId="0" applyNumberFormat="1" applyFont="1" applyFill="1" applyBorder="1" applyAlignment="1">
      <x:alignment horizontal="center" vertical="center"/>
    </x:xf>
    <x:xf numFmtId="205" fontId="4" fillId="8" borderId="7" xfId="0" applyNumberFormat="1" applyFont="1" applyFill="1" applyBorder="1" applyAlignment="1">
      <x:alignment horizontal="center" vertical="center"/>
    </x:xf>
    <x:xf numFmtId="205" fontId="4" fillId="7" borderId="7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vertical="center" wrapText="1"/>
    </x:xf>
    <x:xf numFmtId="208" fontId="3" fillId="0" borderId="1" xfId="0" applyNumberFormat="1" applyFont="1" applyFill="1" applyBorder="1" applyAlignment="1">
      <x:alignment horizontal="center" vertical="center"/>
    </x:xf>
    <x:xf numFmtId="208" fontId="7" fillId="0" borderId="1" xfId="0" applyNumberFormat="1" applyFont="1" applyFill="1" applyBorder="1" applyAlignment="1">
      <x:alignment horizontal="center" vertical="center"/>
    </x:xf>
    <x:xf numFmtId="209" fontId="3" fillId="0" borderId="1" xfId="0" applyNumberFormat="1" applyFont="1" applyFill="1" applyBorder="1" applyAlignment="1">
      <x:alignment horizontal="center" vertical="center"/>
    </x:xf>
    <x:xf numFmtId="209" fontId="7" fillId="0" borderId="1" xfId="0" applyNumberFormat="1" applyFont="1" applyFill="1" applyBorder="1" applyAlignment="1">
      <x:alignment horizontal="center" vertical="center"/>
    </x:xf>
    <x:xf numFmtId="210" fontId="3" fillId="0" borderId="1" xfId="0" applyNumberFormat="1" applyFont="1" applyFill="1" applyBorder="1" applyAlignment="1">
      <x:alignment horizontal="center" vertical="center"/>
    </x:xf>
    <x:xf numFmtId="210" fontId="3" fillId="9" borderId="1" xfId="0" applyNumberFormat="1" applyFont="1" applyFill="1" applyBorder="1" applyAlignment="1">
      <x:alignment horizontal="center" vertical="center"/>
    </x:xf>
    <x:xf numFmtId="210" fontId="8" fillId="9" borderId="1" xfId="0" applyNumberFormat="1" applyFont="1" applyFill="1" applyBorder="1" applyAlignment="1">
      <x:alignment horizontal="center" vertical="center"/>
    </x:xf>
    <x:xf numFmtId="211" fontId="3" fillId="0" borderId="1" xfId="0" applyNumberFormat="1" applyFont="1" applyFill="1" applyBorder="1" applyAlignment="1">
      <x:alignment horizontal="center" vertical="center"/>
    </x:xf>
    <x:xf numFmtId="211" fontId="7" fillId="0" borderId="1" xfId="0" applyNumberFormat="1" applyFont="1" applyFill="1" applyBorder="1" applyAlignment="1">
      <x:alignment horizontal="center" vertical="center"/>
    </x:xf>
    <x:xf numFmtId="202" fontId="3" fillId="9" borderId="1" xfId="0" applyNumberFormat="1" applyFont="1" applyFill="1" applyBorder="1" applyAlignment="1">
      <x:alignment horizontal="center" vertical="center"/>
    </x:xf>
    <x:xf numFmtId="202" fontId="8" fillId="9" borderId="1" xfId="0" applyNumberFormat="1" applyFont="1" applyFill="1" applyBorder="1" applyAlignment="1">
      <x:alignment horizontal="center" vertical="center"/>
    </x:xf>
    <x:xf numFmtId="212" fontId="3" fillId="0" borderId="1" xfId="0" applyNumberFormat="1" applyFont="1" applyFill="1" applyBorder="1" applyAlignment="1">
      <x:alignment horizontal="center" vertical="center"/>
    </x:xf>
    <x:xf numFmtId="212" fontId="7" fillId="0" borderId="1" xfId="0" applyNumberFormat="1" applyFont="1" applyFill="1" applyBorder="1" applyAlignment="1">
      <x:alignment horizontal="center" vertical="center"/>
    </x:xf>
    <x:xf numFmtId="213" fontId="3" fillId="0" borderId="1" xfId="0" applyNumberFormat="1" applyFont="1" applyFill="1" applyBorder="1" applyAlignment="1">
      <x:alignment horizontal="center" vertical="center"/>
    </x:xf>
    <x:xf numFmtId="213" fontId="7" fillId="0" borderId="1" xfId="0" applyNumberFormat="1" applyFont="1" applyFill="1" applyBorder="1" applyAlignment="1">
      <x:alignment horizontal="center" vertical="center"/>
    </x:xf>
    <x:xf numFmtId="214" fontId="3" fillId="0" borderId="1" xfId="0" applyNumberFormat="1" applyFont="1" applyFill="1" applyBorder="1" applyAlignment="1">
      <x:alignment horizontal="center" vertical="center"/>
    </x:xf>
    <x:xf numFmtId="214" fontId="7" fillId="0" borderId="1" xfId="0" applyNumberFormat="1" applyFont="1" applyFill="1" applyBorder="1" applyAlignment="1">
      <x:alignment horizontal="center" vertical="center"/>
    </x:xf>
    <x:xf numFmtId="209" fontId="7" fillId="0" borderId="3" xfId="0" applyNumberFormat="1" applyFont="1" applyFill="1" applyBorder="1" applyAlignment="1">
      <x:alignment horizontal="center" vertical="center"/>
    </x:xf>
    <x:xf numFmtId="210" fontId="8" fillId="9" borderId="3" xfId="0" applyNumberFormat="1" applyFont="1" applyFill="1" applyBorder="1" applyAlignment="1">
      <x:alignment horizontal="center" vertical="center"/>
    </x:xf>
    <x:xf numFmtId="211" fontId="7" fillId="0" borderId="3" xfId="0" applyNumberFormat="1" applyFont="1" applyFill="1" applyBorder="1" applyAlignment="1">
      <x:alignment horizontal="center" vertical="center"/>
    </x:xf>
    <x:xf numFmtId="202" fontId="8" fillId="9" borderId="3" xfId="0" applyNumberFormat="1" applyFont="1" applyFill="1" applyBorder="1" applyAlignment="1">
      <x:alignment horizontal="center" vertical="center"/>
    </x:xf>
    <x:xf numFmtId="215" fontId="3" fillId="0" borderId="1" xfId="0" applyNumberFormat="1" applyFont="1" applyFill="1" applyBorder="1" applyAlignment="1">
      <x:alignment horizontal="center" vertical="center"/>
    </x:xf>
    <x:xf numFmtId="215" fontId="7" fillId="0" borderId="1" xfId="0" applyNumberFormat="1" applyFont="1" applyFill="1" applyBorder="1" applyAlignment="1">
      <x:alignment horizontal="center" vertical="center"/>
    </x:xf>
    <x:xf numFmtId="216" fontId="3" fillId="0" borderId="1" xfId="0" applyNumberFormat="1" applyFont="1" applyFill="1" applyBorder="1" applyAlignment="1">
      <x:alignment horizontal="center" vertical="center"/>
    </x:xf>
    <x:xf numFmtId="217" fontId="3" fillId="0" borderId="1" xfId="0" applyNumberFormat="1" applyFont="1" applyFill="1" applyBorder="1" applyAlignment="1">
      <x:alignment horizontal="center" vertical="center"/>
    </x:xf>
    <x:xf numFmtId="217" fontId="7" fillId="0" borderId="1" xfId="0" applyNumberFormat="1" applyFont="1" applyFill="1" applyBorder="1" applyAlignment="1">
      <x:alignment horizontal="center" vertical="center"/>
    </x:xf>
    <x:xf numFmtId="218" fontId="3" fillId="0" borderId="1" xfId="0" applyNumberFormat="1" applyFont="1" applyFill="1" applyBorder="1" applyAlignment="1">
      <x:alignment horizontal="center" vertical="center"/>
    </x:xf>
    <x:xf numFmtId="218" fontId="7" fillId="0" borderId="1" xfId="0" applyNumberFormat="1" applyFont="1" applyFill="1" applyBorder="1" applyAlignment="1">
      <x:alignment horizontal="center" vertical="center"/>
    </x:xf>
    <x:xf numFmtId="219" fontId="3" fillId="0" borderId="1" xfId="0" applyNumberFormat="1" applyFont="1" applyFill="1" applyBorder="1" applyAlignment="1">
      <x:alignment horizontal="center" vertical="center"/>
    </x:xf>
    <x:xf numFmtId="219" fontId="7" fillId="0" borderId="1" xfId="0" applyNumberFormat="1" applyFont="1" applyFill="1" applyBorder="1" applyAlignment="1">
      <x:alignment horizontal="center" vertical="center"/>
    </x:xf>
    <x:xf numFmtId="215" fontId="7" fillId="0" borderId="3" xfId="0" applyNumberFormat="1" applyFont="1" applyFill="1" applyBorder="1" applyAlignment="1">
      <x:alignment horizontal="center" vertical="center"/>
    </x:xf>
    <x:xf numFmtId="210" fontId="3" fillId="0" borderId="3" xfId="0" applyNumberFormat="1" applyFont="1" applyFill="1" applyBorder="1" applyAlignment="1">
      <x:alignment horizontal="center" vertical="center"/>
    </x:xf>
    <x:xf numFmtId="220" fontId="4" fillId="8" borderId="6" xfId="0" applyNumberFormat="1" applyFont="1" applyFill="1" applyBorder="1" applyAlignment="1">
      <x:alignment horizontal="center" vertical="center"/>
    </x:xf>
    <x:xf numFmtId="220" fontId="7" fillId="8" borderId="6" xfId="0" applyNumberFormat="1" applyFont="1" applyFill="1" applyBorder="1" applyAlignment="1">
      <x:alignment horizontal="center" vertical="center"/>
    </x:xf>
    <x:xf numFmtId="221" fontId="4" fillId="8" borderId="6" xfId="0" applyNumberFormat="1" applyFont="1" applyFill="1" applyBorder="1" applyAlignment="1">
      <x:alignment horizontal="center" vertical="center"/>
    </x:xf>
    <x:xf numFmtId="221" fontId="7" fillId="8" borderId="6" xfId="0" applyNumberFormat="1" applyFont="1" applyFill="1" applyBorder="1" applyAlignment="1">
      <x:alignment horizontal="center" vertical="center"/>
    </x:xf>
    <x:xf numFmtId="222" fontId="4" fillId="8" borderId="6" xfId="0" applyNumberFormat="1" applyFont="1" applyFill="1" applyBorder="1" applyAlignment="1">
      <x:alignment horizontal="center" vertical="center"/>
    </x:xf>
    <x:xf numFmtId="222" fontId="7" fillId="8" borderId="6" xfId="0" applyNumberFormat="1" applyFont="1" applyFill="1" applyBorder="1" applyAlignment="1">
      <x:alignment horizontal="center" vertical="center"/>
    </x:xf>
    <x:xf numFmtId="204" fontId="4" fillId="9" borderId="6" xfId="0" applyNumberFormat="1" applyFont="1" applyFill="1" applyBorder="1" applyAlignment="1">
      <x:alignment horizontal="center" vertical="center"/>
    </x:xf>
    <x:xf numFmtId="204" fontId="9" fillId="9" borderId="6" xfId="0" applyNumberFormat="1" applyFont="1" applyFill="1" applyBorder="1" applyAlignment="1">
      <x:alignment horizontal="center" vertical="center"/>
    </x:xf>
    <x:xf numFmtId="223" fontId="4" fillId="8" borderId="6" xfId="0" applyNumberFormat="1" applyFont="1" applyFill="1" applyBorder="1" applyAlignment="1">
      <x:alignment horizontal="center" vertical="center"/>
    </x:xf>
    <x:xf numFmtId="223" fontId="7" fillId="8" borderId="6" xfId="0" applyNumberFormat="1" applyFont="1" applyFill="1" applyBorder="1" applyAlignment="1">
      <x:alignment horizontal="center" vertical="center"/>
    </x:xf>
    <x:xf numFmtId="224" fontId="4" fillId="8" borderId="6" xfId="0" applyNumberFormat="1" applyFont="1" applyFill="1" applyBorder="1" applyAlignment="1">
      <x:alignment horizontal="center" vertical="center"/>
    </x:xf>
    <x:xf numFmtId="224" fontId="7" fillId="8" borderId="6" xfId="0" applyNumberFormat="1" applyFont="1" applyFill="1" applyBorder="1" applyAlignment="1">
      <x:alignment horizontal="center" vertical="center"/>
    </x:xf>
    <x:xf numFmtId="225" fontId="4" fillId="8" borderId="6" xfId="0" applyNumberFormat="1" applyFont="1" applyFill="1" applyBorder="1" applyAlignment="1">
      <x:alignment horizontal="center" vertical="center"/>
    </x:xf>
    <x:xf numFmtId="225" fontId="4" fillId="9" borderId="6" xfId="0" applyNumberFormat="1" applyFont="1" applyFill="1" applyBorder="1" applyAlignment="1">
      <x:alignment horizontal="center" vertical="center"/>
    </x:xf>
    <x:xf numFmtId="225" fontId="9" fillId="9" borderId="6" xfId="0" applyNumberFormat="1" applyFont="1" applyFill="1" applyBorder="1" applyAlignment="1">
      <x:alignment horizontal="center" vertical="center"/>
    </x:xf>
    <x:xf numFmtId="226" fontId="4" fillId="8" borderId="6" xfId="0" applyNumberFormat="1" applyFont="1" applyFill="1" applyBorder="1" applyAlignment="1">
      <x:alignment horizontal="center" vertical="center"/>
    </x:xf>
    <x:xf numFmtId="226" fontId="7" fillId="8" borderId="6" xfId="0" applyNumberFormat="1" applyFont="1" applyFill="1" applyBorder="1" applyAlignment="1">
      <x:alignment horizontal="center" vertical="center"/>
    </x:xf>
    <x:xf numFmtId="227" fontId="4" fillId="8" borderId="6" xfId="0" applyNumberFormat="1" applyFont="1" applyFill="1" applyBorder="1" applyAlignment="1">
      <x:alignment horizontal="center" vertical="center"/>
    </x:xf>
    <x:xf numFmtId="227" fontId="7" fillId="8" borderId="6" xfId="0" applyNumberFormat="1" applyFont="1" applyFill="1" applyBorder="1" applyAlignment="1">
      <x:alignment horizontal="center" vertical="center"/>
    </x:xf>
    <x:xf numFmtId="228" fontId="4" fillId="8" borderId="6" xfId="0" applyNumberFormat="1" applyFont="1" applyFill="1" applyBorder="1" applyAlignment="1">
      <x:alignment horizontal="center" vertical="center"/>
    </x:xf>
    <x:xf numFmtId="228" fontId="7" fillId="8" borderId="6" xfId="0" applyNumberFormat="1" applyFont="1" applyFill="1" applyBorder="1" applyAlignment="1">
      <x:alignment horizontal="center" vertical="center"/>
    </x:xf>
    <x:xf numFmtId="229" fontId="4" fillId="8" borderId="6" xfId="0" applyNumberFormat="1" applyFont="1" applyFill="1" applyBorder="1" applyAlignment="1">
      <x:alignment horizontal="center" vertical="center"/>
    </x:xf>
    <x:xf numFmtId="229" fontId="7" fillId="8" borderId="6" xfId="0" applyNumberFormat="1" applyFont="1" applyFill="1" applyBorder="1" applyAlignment="1">
      <x:alignment horizontal="center" vertical="center"/>
    </x:xf>
    <x:xf numFmtId="202" fontId="4" fillId="9" borderId="6" xfId="0" applyNumberFormat="1" applyFont="1" applyFill="1" applyBorder="1" applyAlignment="1">
      <x:alignment horizontal="center" vertical="center"/>
    </x:xf>
    <x:xf numFmtId="202" fontId="9" fillId="9" borderId="6" xfId="0" applyNumberFormat="1" applyFont="1" applyFill="1" applyBorder="1" applyAlignment="1">
      <x:alignment horizontal="center" vertical="center"/>
    </x:xf>
    <x:xf numFmtId="209" fontId="4" fillId="8" borderId="6" xfId="0" applyNumberFormat="1" applyFont="1" applyFill="1" applyBorder="1" applyAlignment="1">
      <x:alignment horizontal="center" vertical="center"/>
    </x:xf>
    <x:xf numFmtId="209" fontId="7" fillId="8" borderId="6" xfId="0" applyNumberFormat="1" applyFont="1" applyFill="1" applyBorder="1" applyAlignment="1">
      <x:alignment horizontal="center" vertical="center"/>
    </x:xf>
    <x:xf numFmtId="210" fontId="4" fillId="8" borderId="6" xfId="0" applyNumberFormat="1" applyFont="1" applyFill="1" applyBorder="1" applyAlignment="1">
      <x:alignment horizontal="center" vertical="center"/>
    </x:xf>
    <x:xf numFmtId="210" fontId="4" fillId="9" borderId="6" xfId="0" applyNumberFormat="1" applyFont="1" applyFill="1" applyBorder="1" applyAlignment="1">
      <x:alignment horizontal="center" vertical="center"/>
    </x:xf>
    <x:xf numFmtId="210" fontId="9" fillId="9" borderId="6" xfId="0" applyNumberFormat="1" applyFont="1" applyFill="1" applyBorder="1" applyAlignment="1">
      <x:alignment horizontal="center" vertical="center"/>
    </x:xf>
    <x:xf numFmtId="211" fontId="4" fillId="8" borderId="6" xfId="0" applyNumberFormat="1" applyFont="1" applyFill="1" applyBorder="1" applyAlignment="1">
      <x:alignment horizontal="center" vertical="center"/>
    </x:xf>
    <x:xf numFmtId="211" fontId="7" fillId="8" borderId="6" xfId="0" applyNumberFormat="1" applyFont="1" applyFill="1" applyBorder="1" applyAlignment="1">
      <x:alignment horizontal="center" vertical="center"/>
    </x:xf>
    <x:xf numFmtId="230" fontId="4" fillId="8" borderId="6" xfId="0" applyNumberFormat="1" applyFont="1" applyFill="1" applyBorder="1" applyAlignment="1">
      <x:alignment horizontal="center" vertical="center"/>
    </x:xf>
    <x:xf numFmtId="230" fontId="7" fillId="8" borderId="6" xfId="0" applyNumberFormat="1" applyFont="1" applyFill="1" applyBorder="1" applyAlignment="1">
      <x:alignment horizontal="center" vertical="center"/>
    </x:xf>
    <x:xf numFmtId="213" fontId="4" fillId="8" borderId="6" xfId="0" applyNumberFormat="1" applyFont="1" applyFill="1" applyBorder="1" applyAlignment="1">
      <x:alignment horizontal="center" vertical="center"/>
    </x:xf>
    <x:xf numFmtId="213" fontId="7" fillId="8" borderId="6" xfId="0" applyNumberFormat="1" applyFont="1" applyFill="1" applyBorder="1" applyAlignment="1">
      <x:alignment horizontal="center" vertical="center"/>
    </x:xf>
    <x:xf numFmtId="214" fontId="4" fillId="8" borderId="6" xfId="0" applyNumberFormat="1" applyFont="1" applyFill="1" applyBorder="1" applyAlignment="1">
      <x:alignment horizontal="center" vertical="center"/>
    </x:xf>
    <x:xf numFmtId="214" fontId="7" fillId="8" borderId="6" xfId="0" applyNumberFormat="1" applyFont="1" applyFill="1" applyBorder="1" applyAlignment="1">
      <x:alignment horizontal="center" vertical="center"/>
    </x:xf>
    <x:xf numFmtId="231" fontId="3" fillId="0" borderId="1" xfId="0" applyNumberFormat="1" applyFont="1" applyFill="1" applyBorder="1" applyAlignment="1">
      <x:alignment horizontal="center" vertical="center"/>
    </x:xf>
    <x:xf numFmtId="231" fontId="7" fillId="0" borderId="1" xfId="0" applyNumberFormat="1" applyFont="1" applyFill="1" applyBorder="1" applyAlignment="1">
      <x:alignment horizontal="center" vertical="center"/>
    </x:xf>
    <x:xf numFmtId="230" fontId="3" fillId="0" borderId="1" xfId="0" applyNumberFormat="1" applyFont="1" applyFill="1" applyBorder="1" applyAlignment="1">
      <x:alignment horizontal="center" vertical="center"/>
    </x:xf>
    <x:xf numFmtId="230" fontId="7" fillId="0" borderId="1" xfId="0" applyNumberFormat="1" applyFont="1" applyFill="1" applyBorder="1" applyAlignment="1">
      <x:alignment horizontal="center" vertical="center"/>
    </x:xf>
    <x:xf numFmtId="228" fontId="3" fillId="0" borderId="1" xfId="0" applyNumberFormat="1" applyFont="1" applyFill="1" applyBorder="1" applyAlignment="1">
      <x:alignment horizontal="center" vertical="center"/>
    </x:xf>
    <x:xf numFmtId="228" fontId="7" fillId="0" borderId="1" xfId="0" applyNumberFormat="1" applyFont="1" applyFill="1" applyBorder="1" applyAlignment="1">
      <x:alignment horizontal="center" vertical="center"/>
    </x:xf>
    <x:xf numFmtId="229" fontId="3" fillId="0" borderId="1" xfId="0" applyNumberFormat="1" applyFont="1" applyFill="1" applyBorder="1" applyAlignment="1">
      <x:alignment horizontal="center" vertical="center"/>
    </x:xf>
    <x:xf numFmtId="229" fontId="7" fillId="0" borderId="1" xfId="0" applyNumberFormat="1" applyFont="1" applyFill="1" applyBorder="1" applyAlignment="1">
      <x:alignment horizontal="center" vertical="center"/>
    </x:xf>
    <x:xf numFmtId="227" fontId="3" fillId="0" borderId="1" xfId="0" applyNumberFormat="1" applyFont="1" applyFill="1" applyBorder="1" applyAlignment="1">
      <x:alignment horizontal="center" vertical="center"/>
    </x:xf>
    <x:xf numFmtId="227" fontId="7" fillId="0" borderId="1" xfId="0" applyNumberFormat="1" applyFont="1" applyFill="1" applyBorder="1" applyAlignment="1">
      <x:alignment horizontal="center" vertical="center"/>
    </x:xf>
    <x:xf numFmtId="220" fontId="7" fillId="8" borderId="7" xfId="0" applyNumberFormat="1" applyFont="1" applyFill="1" applyBorder="1" applyAlignment="1">
      <x:alignment horizontal="center" vertical="center"/>
    </x:xf>
    <x:xf numFmtId="227" fontId="7" fillId="8" borderId="7" xfId="0" applyNumberFormat="1" applyFont="1" applyFill="1" applyBorder="1" applyAlignment="1">
      <x:alignment horizontal="center" vertical="center"/>
    </x:xf>
    <x:xf numFmtId="228" fontId="7" fillId="0" borderId="3" xfId="0" applyNumberFormat="1" applyFont="1" applyFill="1" applyBorder="1" applyAlignment="1">
      <x:alignment horizontal="center" vertical="center"/>
    </x:xf>
    <x:xf numFmtId="227" fontId="7" fillId="0" borderId="3" xfId="0" applyNumberFormat="1" applyFont="1" applyFill="1" applyBorder="1" applyAlignment="1">
      <x:alignment horizontal="center" vertical="center"/>
    </x:xf>
    <x:xf numFmtId="204" fontId="9" fillId="9" borderId="7" xfId="0" applyNumberFormat="1" applyFont="1" applyFill="1" applyBorder="1" applyAlignment="1">
      <x:alignment horizontal="center" vertical="center"/>
    </x:xf>
    <x:xf numFmtId="211" fontId="7" fillId="8" borderId="7" xfId="0" applyNumberFormat="1" applyFont="1" applyFill="1" applyBorder="1" applyAlignment="1">
      <x:alignment horizontal="center" vertical="center"/>
    </x:xf>
    <x:xf numFmtId="224" fontId="7" fillId="8" borderId="7" xfId="0" applyNumberFormat="1" applyFont="1" applyFill="1" applyBorder="1" applyAlignment="1">
      <x:alignment horizontal="center" vertical="center"/>
    </x:xf>
    <x:xf numFmtId="209" fontId="7" fillId="8" borderId="7" xfId="0" applyNumberFormat="1" applyFont="1" applyFill="1" applyBorder="1" applyAlignment="1">
      <x:alignment horizontal="center" vertical="center"/>
    </x:xf>
    <x:xf numFmtId="210" fontId="9" fillId="9" borderId="7" xfId="0" applyNumberFormat="1" applyFont="1" applyFill="1" applyBorder="1" applyAlignment="1">
      <x:alignment horizontal="center" vertical="center"/>
    </x:xf>
    <x:xf numFmtId="226" fontId="7" fillId="8" borderId="7" xfId="0" applyNumberFormat="1" applyFont="1" applyFill="1" applyBorder="1" applyAlignment="1">
      <x:alignment horizontal="center" vertical="center"/>
    </x:xf>
    <x:xf numFmtId="202" fontId="9" fillId="9" borderId="7" xfId="0" applyNumberFormat="1" applyFont="1" applyFill="1" applyBorder="1" applyAlignment="1">
      <x:alignment horizontal="center" vertical="center"/>
    </x:xf>
    <x:xf numFmtId="232" fontId="4" fillId="8" borderId="6" xfId="0" applyNumberFormat="1" applyFont="1" applyFill="1" applyBorder="1" applyAlignment="1">
      <x:alignment horizontal="center" vertical="center"/>
    </x:xf>
    <x:xf numFmtId="232" fontId="7" fillId="8" borderId="6" xfId="0" applyNumberFormat="1" applyFont="1" applyFill="1" applyBorder="1" applyAlignment="1">
      <x:alignment horizontal="center" vertical="center"/>
    </x:xf>
    <x:xf numFmtId="233" fontId="4" fillId="8" borderId="6" xfId="0" applyNumberFormat="1" applyFont="1" applyFill="1" applyBorder="1" applyAlignment="1">
      <x:alignment horizontal="center" vertical="center"/>
    </x:xf>
    <x:xf numFmtId="233" fontId="7" fillId="8" borderId="6" xfId="0" applyNumberFormat="1" applyFont="1" applyFill="1" applyBorder="1" applyAlignment="1">
      <x:alignment horizontal="center" vertical="center"/>
    </x:xf>
    <x:xf numFmtId="234" fontId="4" fillId="8" borderId="6" xfId="0" applyNumberFormat="1" applyFont="1" applyFill="1" applyBorder="1" applyAlignment="1">
      <x:alignment horizontal="center" vertical="center"/>
    </x:xf>
    <x:xf numFmtId="234" fontId="7" fillId="8" borderId="6" xfId="0" applyNumberFormat="1" applyFont="1" applyFill="1" applyBorder="1" applyAlignment="1">
      <x:alignment horizontal="center" vertical="center"/>
    </x:xf>
    <x:xf numFmtId="234" fontId="3" fillId="0" borderId="1" xfId="0" applyNumberFormat="1" applyFont="1" applyFill="1" applyBorder="1" applyAlignment="1">
      <x:alignment horizontal="center" vertical="center"/>
    </x:xf>
    <x:xf numFmtId="234" fontId="7" fillId="0" borderId="1" xfId="0" applyNumberFormat="1" applyFont="1" applyFill="1" applyBorder="1" applyAlignment="1">
      <x:alignment horizontal="center" vertical="center"/>
    </x:xf>
    <x:xf numFmtId="233" fontId="3" fillId="0" borderId="1" xfId="0" applyNumberFormat="1" applyFont="1" applyFill="1" applyBorder="1" applyAlignment="1">
      <x:alignment horizontal="center" vertical="center"/>
    </x:xf>
    <x:xf numFmtId="233" fontId="7" fillId="0" borderId="1" xfId="0" applyNumberFormat="1" applyFont="1" applyFill="1" applyBorder="1" applyAlignment="1">
      <x:alignment horizontal="center" vertical="center"/>
    </x:xf>
    <x:xf numFmtId="232" fontId="7" fillId="8" borderId="7" xfId="0" applyNumberFormat="1" applyFont="1" applyFill="1" applyBorder="1" applyAlignment="1">
      <x:alignment horizontal="center" vertical="center"/>
    </x:xf>
    <x:xf numFmtId="233" fontId="7" fillId="8" borderId="7" xfId="0" applyNumberFormat="1" applyFont="1" applyFill="1" applyBorder="1" applyAlignment="1">
      <x:alignment horizontal="center" vertical="center"/>
    </x:xf>
    <x:xf numFmtId="233" fontId="7" fillId="0" borderId="3" xfId="0" applyNumberFormat="1" applyFont="1" applyFill="1" applyBorder="1" applyAlignment="1">
      <x:alignment horizontal="center" vertical="center"/>
    </x:xf>
    <x:xf numFmtId="235" fontId="4" fillId="8" borderId="6" xfId="0" applyNumberFormat="1" applyFont="1" applyFill="1" applyBorder="1" applyAlignment="1">
      <x:alignment horizontal="center" vertical="center"/>
    </x:xf>
    <x:xf numFmtId="235" fontId="7" fillId="8" borderId="6" xfId="0" applyNumberFormat="1" applyFont="1" applyFill="1" applyBorder="1" applyAlignment="1">
      <x:alignment horizontal="center" vertical="center"/>
    </x:xf>
    <x:xf numFmtId="212" fontId="4" fillId="8" borderId="6" xfId="0" applyNumberFormat="1" applyFont="1" applyFill="1" applyBorder="1" applyAlignment="1">
      <x:alignment horizontal="center" vertical="center"/>
    </x:xf>
    <x:xf numFmtId="212" fontId="7" fillId="8" borderId="6" xfId="0" applyNumberFormat="1" applyFont="1" applyFill="1" applyBorder="1" applyAlignment="1">
      <x:alignment horizontal="center" vertical="center"/>
    </x:xf>
    <x:xf numFmtId="236" fontId="3" fillId="0" borderId="1" xfId="0" applyNumberFormat="1" applyFont="1" applyFill="1" applyBorder="1" applyAlignment="1">
      <x:alignment horizontal="center" vertical="center"/>
    </x:xf>
    <x:xf numFmtId="236" fontId="7" fillId="0" borderId="1" xfId="0" applyNumberFormat="1" applyFont="1" applyFill="1" applyBorder="1" applyAlignment="1">
      <x:alignment horizontal="center" vertical="center"/>
    </x:xf>
    <x:xf numFmtId="221" fontId="7" fillId="8" borderId="7" xfId="0" applyNumberFormat="1" applyFont="1" applyFill="1" applyBorder="1" applyAlignment="1">
      <x:alignment horizontal="center" vertical="center"/>
    </x:xf>
    <x:xf numFmtId="228" fontId="7" fillId="8" borderId="7" xfId="0" applyNumberFormat="1" applyFont="1" applyFill="1" applyBorder="1" applyAlignment="1">
      <x:alignment horizontal="center" vertical="center"/>
    </x:xf>
    <x:xf numFmtId="237" fontId="4" fillId="8" borderId="6" xfId="0" applyNumberFormat="1" applyFont="1" applyFill="1" applyBorder="1" applyAlignment="1">
      <x:alignment horizontal="center" vertical="center"/>
    </x:xf>
    <x:xf numFmtId="237" fontId="7" fillId="8" borderId="6" xfId="0" applyNumberFormat="1" applyFont="1" applyFill="1" applyBorder="1" applyAlignment="1">
      <x:alignment horizontal="center" vertical="center"/>
    </x:xf>
    <x:xf numFmtId="238" fontId="4" fillId="8" borderId="6" xfId="0" applyNumberFormat="1" applyFont="1" applyFill="1" applyBorder="1" applyAlignment="1">
      <x:alignment horizontal="center" vertical="center"/>
    </x:xf>
    <x:xf numFmtId="238" fontId="7" fillId="8" borderId="6" xfId="0" applyNumberFormat="1" applyFont="1" applyFill="1" applyBorder="1" applyAlignment="1">
      <x:alignment horizontal="center" vertical="center"/>
    </x:xf>
    <x:xf numFmtId="239" fontId="4" fillId="8" borderId="6" xfId="0" applyNumberFormat="1" applyFont="1" applyFill="1" applyBorder="1" applyAlignment="1">
      <x:alignment horizontal="center" vertical="center"/>
    </x:xf>
    <x:xf numFmtId="239" fontId="7" fillId="8" borderId="6" xfId="0" applyNumberFormat="1" applyFont="1" applyFill="1" applyBorder="1" applyAlignment="1">
      <x:alignment horizontal="center" vertical="center"/>
    </x:xf>
    <x:xf numFmtId="206" fontId="4" fillId="9" borderId="6" xfId="0" applyNumberFormat="1" applyFont="1" applyFill="1" applyBorder="1" applyAlignment="1">
      <x:alignment horizontal="center" vertical="center"/>
    </x:xf>
    <x:xf numFmtId="206" fontId="9" fillId="9" borderId="6" xfId="0" applyNumberFormat="1" applyFont="1" applyFill="1" applyBorder="1" applyAlignment="1">
      <x:alignment horizontal="center" vertical="center"/>
    </x:xf>
    <x:xf numFmtId="240" fontId="4" fillId="8" borderId="6" xfId="0" applyNumberFormat="1" applyFont="1" applyFill="1" applyBorder="1" applyAlignment="1">
      <x:alignment horizontal="center" vertical="center"/>
    </x:xf>
    <x:xf numFmtId="240" fontId="7" fillId="8" borderId="6" xfId="0" applyNumberFormat="1" applyFont="1" applyFill="1" applyBorder="1" applyAlignment="1">
      <x:alignment horizontal="center" vertical="center"/>
    </x:xf>
    <x:xf numFmtId="241" fontId="4" fillId="8" borderId="6" xfId="0" applyNumberFormat="1" applyFont="1" applyFill="1" applyBorder="1" applyAlignment="1">
      <x:alignment horizontal="center" vertical="center"/>
    </x:xf>
    <x:xf numFmtId="241" fontId="7" fillId="8" borderId="6" xfId="0" applyNumberFormat="1" applyFont="1" applyFill="1" applyBorder="1" applyAlignment="1">
      <x:alignment horizontal="center" vertical="center"/>
    </x:xf>
    <x:xf numFmtId="242" fontId="4" fillId="8" borderId="6" xfId="0" applyNumberFormat="1" applyFont="1" applyFill="1" applyBorder="1" applyAlignment="1">
      <x:alignment horizontal="center" vertical="center"/>
    </x:xf>
    <x:xf numFmtId="242" fontId="4" fillId="9" borderId="6" xfId="0" applyNumberFormat="1" applyFont="1" applyFill="1" applyBorder="1" applyAlignment="1">
      <x:alignment horizontal="center" vertical="center"/>
    </x:xf>
    <x:xf numFmtId="242" fontId="9" fillId="9" borderId="6" xfId="0" applyNumberFormat="1" applyFont="1" applyFill="1" applyBorder="1" applyAlignment="1">
      <x:alignment horizontal="center" vertical="center"/>
    </x:xf>
    <x:xf numFmtId="243" fontId="3" fillId="0" borderId="1" xfId="0" applyNumberFormat="1" applyFont="1" applyFill="1" applyBorder="1" applyAlignment="1">
      <x:alignment horizontal="center" vertical="center"/>
    </x:xf>
    <x:xf numFmtId="243" fontId="7" fillId="0" borderId="1" xfId="0" applyNumberFormat="1" applyFont="1" applyFill="1" applyBorder="1" applyAlignment="1">
      <x:alignment horizontal="center" vertical="center"/>
    </x:xf>
    <x:xf numFmtId="237" fontId="7" fillId="8" borderId="7" xfId="0" applyNumberFormat="1" applyFont="1" applyFill="1" applyBorder="1" applyAlignment="1">
      <x:alignment horizontal="center" vertical="center"/>
    </x:xf>
    <x:xf numFmtId="240" fontId="7" fillId="8" borderId="7" xfId="0" applyNumberFormat="1" applyFont="1" applyFill="1" applyBorder="1" applyAlignment="1">
      <x:alignment horizontal="center" vertical="center"/>
    </x:xf>
    <x:xf numFmtId="241" fontId="7" fillId="8" borderId="7" xfId="0" applyNumberFormat="1" applyFont="1" applyFill="1" applyBorder="1" applyAlignment="1">
      <x:alignment horizontal="center" vertical="center"/>
    </x:xf>
    <x:xf numFmtId="244" fontId="4" fillId="8" borderId="6" xfId="0" applyNumberFormat="1" applyFont="1" applyFill="1" applyBorder="1" applyAlignment="1">
      <x:alignment horizontal="center" vertical="center"/>
    </x:xf>
    <x:xf numFmtId="244" fontId="7" fillId="8" borderId="6" xfId="0" applyNumberFormat="1" applyFont="1" applyFill="1" applyBorder="1" applyAlignment="1">
      <x:alignment horizontal="center" vertical="center"/>
    </x:xf>
    <x:xf numFmtId="205" fontId="4" fillId="9" borderId="6" xfId="0" applyNumberFormat="1" applyFont="1" applyFill="1" applyBorder="1" applyAlignment="1">
      <x:alignment horizontal="center" vertical="center"/>
    </x:xf>
    <x:xf numFmtId="205" fontId="9" fillId="9" borderId="6" xfId="0" applyNumberFormat="1" applyFont="1" applyFill="1" applyBorder="1" applyAlignment="1">
      <x:alignment horizontal="center" vertical="center"/>
    </x:xf>
    <x:xf numFmtId="245" fontId="3" fillId="0" borderId="1" xfId="0" applyNumberFormat="1" applyFont="1" applyFill="1" applyBorder="1" applyAlignment="1">
      <x:alignment horizontal="center" vertical="center"/>
    </x:xf>
    <x:xf numFmtId="245" fontId="7" fillId="0" borderId="1" xfId="0" applyNumberFormat="1" applyFont="1" applyFill="1" applyBorder="1" applyAlignment="1">
      <x:alignment horizontal="center" vertical="center"/>
    </x:xf>
    <x:xf numFmtId="246" fontId="4" fillId="8" borderId="6" xfId="0" applyNumberFormat="1" applyFont="1" applyFill="1" applyBorder="1" applyAlignment="1">
      <x:alignment horizontal="center" vertical="center"/>
    </x:xf>
    <x:xf numFmtId="246" fontId="7" fillId="8" borderId="6" xfId="0" applyNumberFormat="1" applyFont="1" applyFill="1" applyBorder="1" applyAlignment="1">
      <x:alignment horizontal="center" vertical="center"/>
    </x:xf>
    <x:xf numFmtId="247" fontId="4" fillId="8" borderId="6" xfId="0" applyNumberFormat="1" applyFont="1" applyFill="1" applyBorder="1" applyAlignment="1">
      <x:alignment horizontal="center" vertical="center"/>
    </x:xf>
    <x:xf numFmtId="247" fontId="7" fillId="8" borderId="6" xfId="0" applyNumberFormat="1" applyFont="1" applyFill="1" applyBorder="1" applyAlignment="1">
      <x:alignment horizontal="center" vertical="center"/>
    </x:xf>
    <x:xf numFmtId="248" fontId="4" fillId="8" borderId="6" xfId="0" applyNumberFormat="1" applyFont="1" applyFill="1" applyBorder="1" applyAlignment="1">
      <x:alignment horizontal="center" vertical="center"/>
    </x:xf>
    <x:xf numFmtId="248" fontId="7" fillId="8" borderId="6" xfId="0" applyNumberFormat="1" applyFont="1" applyFill="1" applyBorder="1" applyAlignment="1">
      <x:alignment horizontal="center" vertical="center"/>
    </x:xf>
    <x:xf numFmtId="244" fontId="7" fillId="8" borderId="7" xfId="0" applyNumberFormat="1" applyFont="1" applyFill="1" applyBorder="1" applyAlignment="1">
      <x:alignment horizontal="center" vertical="center"/>
    </x:xf>
    <x:xf numFmtId="205" fontId="9" fillId="9" borderId="7" xfId="0" applyNumberFormat="1" applyFont="1" applyFill="1" applyBorder="1" applyAlignment="1">
      <x:alignment horizontal="center" vertical="center"/>
    </x:xf>
    <x:xf numFmtId="248" fontId="7" fillId="8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6" fontId="3" fillId="0" borderId="0" xfId="0" applyNumberFormat="1" applyFont="1" applyFill="1" applyBorder="1"/>
    <x:xf numFmtId="202" fontId="3" fillId="0" borderId="1" xfId="0" applyNumberFormat="1" applyFont="1" applyFill="1" applyBorder="1"/>
    <x:xf numFmtId="206" fontId="3" fillId="0" borderId="1" xfId="0" applyNumberFormat="1" applyFont="1" applyFill="1" applyBorder="1"/>
    <x:xf numFmtId="202" fontId="3" fillId="0" borderId="1" xfId="0" applyNumberFormat="1" applyFont="1" applyFill="1" applyBorder="1" applyAlignment="1">
      <x:alignment horizontal="center"/>
    </x:xf>
    <x:xf numFmtId="206" fontId="3" fillId="0" borderId="1" xfId="0" applyNumberFormat="1" applyFont="1" applyFill="1" applyBorder="1" applyAlignment="1">
      <x:alignment horizontal="center"/>
    </x:xf>
    <x:xf numFmtId="206" fontId="3" fillId="0" borderId="1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7749254634347" /><Relationship Type="http://schemas.openxmlformats.org/officeDocument/2006/relationships/theme" Target="/xl/theme/theme1.xml" Id="R9d429175b16e4b89" /><Relationship Type="http://schemas.openxmlformats.org/officeDocument/2006/relationships/sharedStrings" Target="/xl/sharedStrings.xml" Id="Rf6560abfdbf249fd" /><Relationship Type="http://schemas.openxmlformats.org/officeDocument/2006/relationships/worksheet" Target="/xl/worksheets/sheet1.xml" Id="Rb75106f37b194384" /><Relationship Type="http://schemas.openxmlformats.org/officeDocument/2006/relationships/worksheet" Target="/xl/worksheets/sheet2.xml" Id="R9d662c468ec944ee" /><Relationship Type="http://schemas.openxmlformats.org/officeDocument/2006/relationships/worksheet" Target="/xl/worksheets/sheet3.xml" Id="Rd67ee8064ed24d74" /><Relationship Type="http://schemas.openxmlformats.org/officeDocument/2006/relationships/worksheet" Target="/xl/worksheets/sheet4.xml" Id="R1a91b75d01194a54" /><Relationship Type="http://schemas.openxmlformats.org/officeDocument/2006/relationships/worksheet" Target="/xl/worksheets/sheet5.xml" Id="Rcb5569abdb2644dc" /><Relationship Type="http://schemas.openxmlformats.org/officeDocument/2006/relationships/worksheet" Target="/xl/worksheets/sheet6.xml" Id="R2a99448e3de7421b" /><Relationship Type="http://schemas.openxmlformats.org/officeDocument/2006/relationships/worksheet" Target="/xl/worksheets/sheet7.xml" Id="R04f06a318ed140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d426002c3f47cb" /><Relationship Type="http://schemas.openxmlformats.org/officeDocument/2006/relationships/chart" Target="/xl/drawings/charts/chart2.xml" Id="R694e5cd184824629" /><Relationship Type="http://schemas.openxmlformats.org/officeDocument/2006/relationships/chart" Target="/xl/drawings/charts/chart3.xml" Id="R6dab341140c8429c" /></Relationships>
</file>

<file path=xl/drawings/charts/chart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75">
                <ns1:latin typeface="Calibri"/>
                <ns1:ea typeface="Calibri"/>
                <ns1:cs typeface="Calibri"/>
              </ns1:rPr>
              <ns1:t>核心指标 T2B</ns1:t>
            </ns1:r>
          </ns1:p>
        </ns0:rich>
      </ns0:tx>
      <ns0:overlay val="0"/>
      <ns0:txPr>
        <ns1:bodyPr anchorCtr="1"/>
        <ns1:lstStyle/>
        <ns1:p>
          <ns1:pPr>
            <ns1:defRPr sz="975">
              <ns1:latin typeface="Calibri"/>
              <ns1:ea typeface="Calibri"/>
              <ns1:cs typeface="Calibri"/>
            </ns1:defRPr>
          </ns1:pPr>
        </ns1:p>
      </ns0:txPr>
    </ns0:title>
    <ns0:plotArea>
      <ns0:barChart>
        <ns0:barDir val="bar"/>
        <ns0:varyColors val="0"/>
        <ns0:ser>
          <ns0:idx val="0"/>
          <ns0:order val="0"/>
          <ns0:tx>
            <ns0:v>整体满意度 T2B</ns0:v>
          </ns0:tx>
          <ns0:spPr>
            <ns1:solidFill>
              <ns1:srgbClr val="477EA3"/>
            </ns1:solidFill>
          </ns0:spPr>
          <ns0:cat>
            <ns0:strRef>
              <ns0:f>'指标概览'!$A$8:$A$12</ns0:f>
              <ns0:strCache>
                <ns0:ptCount val="0"/>
              </ns0:strCache>
            </ns0:strRef>
          </ns0:cat>
          <ns0:val>
            <ns0:numRef>
              <ns0:f>'指标概览'!$B$8:$B$12</ns0:f>
              <ns0:numCache>
                <ns0:formatCode>0.0%</ns0:formatCode>
                <ns0:ptCount val="0"/>
              </ns0:numCache>
            </ns0:numRef>
          </ns0:val>
        </ns0:ser>
        <ns0:ser>
          <ns0:idx val="1"/>
          <ns0:order val="1"/>
          <ns0:tx>
            <ns0:v>上手表现 T2B</ns0:v>
          </ns0:tx>
          <ns0:spPr>
            <ns1:solidFill>
              <ns1:srgbClr val="759B79"/>
            </ns1:solidFill>
          </ns0:spPr>
          <ns0:cat>
            <ns0:strRef>
              <ns0:f>'指标概览'!$A$8:$A$12</ns0:f>
              <ns0:strCache>
                <ns0:ptCount val="0"/>
              </ns0:strCache>
            </ns0:strRef>
          </ns0:cat>
          <ns0:val>
            <ns0:numRef>
              <ns0:f>'指标概览'!$D$8:$D$12</ns0:f>
              <ns0:numCache>
                <ns0:formatCode>0.0%</ns0:formatCode>
                <ns0:ptCount val="0"/>
              </ns0:numCache>
            </ns0:numRef>
          </ns0:val>
        </ns0:ser>
        <ns0:ser>
          <ns0:idx val="2"/>
          <ns0:order val="2"/>
          <ns0:tx>
            <ns0:v>继续游玩意愿 T2B</ns0:v>
          </ns0:tx>
          <ns0:spPr>
            <ns1:solidFill>
              <ns1:srgbClr val="9A87B7"/>
            </ns1:solidFill>
          </ns0:spPr>
          <ns0:cat>
            <ns0:strRef>
              <ns0:f>'指标概览'!$A$8:$A$12</ns0:f>
              <ns0:strCache>
                <ns0:ptCount val="0"/>
              </ns0:strCache>
            </ns0:strRef>
          </ns0:cat>
          <ns0:val>
            <ns0:numRef>
              <ns0:f>'指标概览'!$F$8:$F$12</ns0:f>
              <ns0:numCache>
                <ns0:formatCode>0.0%</ns0:formatCode>
                <ns0:ptCount val="0"/>
              </ns0:numCache>
            </ns0:numRef>
          </ns0:val>
        </ns0:ser>
        <ns0:axId val="48650112"/>
        <ns0:axId val="48672768"/>
        <ns0:grouping val="clustered"/>
      </ns0:barChart>
      <ns0:catAx>
        <ns0:axId val="48650112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low"/>
        <ns0:txPr>
          <ns1:bodyPr anchorCtr="1"/>
          <ns1:lstStyle/>
          <ns1:p>
            <ns1:pPr>
              <ns1:defRPr sz="750">
                <ns1:latin typeface="Calibri"/>
                <ns1:ea typeface="Calibri"/>
                <ns1:cs typeface="Calibri"/>
              </ns1:defRPr>
            </ns1:pPr>
          </ns1:p>
        </ns0:txPr>
        <ns0:crossAx val="48672768"/>
      </ns0:catAx>
      <ns0:valAx>
        <ns0:axId val="48672768"/>
        <ns0:scaling>
          <ns0:orientation val="minMax"/>
          <ns0:max val="1"/>
          <ns0:min val="0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%" sourceLinked="0"/>
        <ns0:majorTickMark val="none"/>
        <ns0:minorTickMark val="none"/>
        <ns0:txPr>
          <ns1:bodyPr anchorCtr="1"/>
          <ns1:lstStyle/>
          <ns1:p>
            <ns1:pPr>
              <ns1:defRPr sz="750">
                <ns1:latin typeface="Calibri"/>
                <ns1:ea typeface="Calibri"/>
                <ns1:cs typeface="Calibri"/>
              </ns1:defRPr>
            </ns1:pPr>
          </ns1:p>
        </ns0:txPr>
        <ns0:crossAx val="48650112"/>
        <ns0:crossBetween val="between"/>
        <ns0:majorUnit val="0.2"/>
      </ns0:valAx>
    </ns0:plotArea>
    <ns0:legend>
      <ns0:legendPos val="t"/>
      <ns0:overlay val="0"/>
      <ns0:txPr>
        <ns1:bodyPr anchorCtr="1"/>
        <ns1:lstStyle/>
        <ns1:p>
          <ns1:pPr>
            <ns1:defRPr sz="750">
              <ns1:latin typeface="Calibri"/>
              <ns1:ea typeface="Calibri"/>
              <ns1:cs typeface="Calibri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75">
                <ns1:latin typeface="Calibri"/>
                <ns1:ea typeface="Calibri"/>
                <ns1:cs typeface="Calibri"/>
              </ns1:rPr>
              <ns1:t>NPS（−100 至 100）</ns1:t>
            </ns1:r>
          </ns1:p>
        </ns0:rich>
      </ns0:tx>
      <ns0:overlay val="0"/>
      <ns0:txPr>
        <ns1:bodyPr anchorCtr="1"/>
        <ns1:lstStyle/>
        <ns1:p>
          <ns1:pPr>
            <ns1:defRPr sz="975">
              <ns1:latin typeface="Calibri"/>
              <ns1:ea typeface="Calibri"/>
              <ns1:cs typeface="Calibri"/>
            </ns1:defRPr>
          </ns1:pPr>
        </ns1:p>
      </ns0:txPr>
    </ns0:title>
    <ns0:plotArea>
      <ns0:barChart>
        <ns0:barDir val="bar"/>
        <ns0:varyColors val="0"/>
        <ns0:ser>
          <ns0:idx val="0"/>
          <ns0:order val="0"/>
          <ns0:tx>
            <ns0:v>NPS 推荐意愿</ns0:v>
          </ns0:tx>
          <ns0:spPr>
            <ns1:solidFill>
              <ns1:srgbClr val="477EA3"/>
            </ns1:solidFill>
          </ns0:spPr>
          <ns0:invertIfNegative val="0"/>
          <ns0:cat>
            <ns0:strRef>
              <ns0:f>'指标概览'!$A$8:$A$12</ns0:f>
              <ns0:strCache>
                <ns0:ptCount val="0"/>
              </ns0:strCache>
            </ns0:strRef>
          </ns0:cat>
          <ns0:val>
            <ns0:numRef>
              <ns0:f>'指标概览'!$H$8:$H$12</ns0:f>
              <ns0:numCache>
                <ns0:formatCode>0</ns0:formatCode>
                <ns0:ptCount val="0"/>
              </ns0:numCache>
            </ns0:numRef>
          </ns0:val>
        </ns0:ser>
        <ns0:dLbls>
          <ns0:numFmt formatCode="0" sourceLinked="0"/>
          <ns0:dLblPos val="outEnd"/>
          <ns0:showLegendKey val="0"/>
          <ns0:showVal val="1"/>
          <ns0:showCatName val="0"/>
          <ns0:showSerName val="0"/>
          <ns0:showPercent val="0"/>
          <ns0:showBubbleSize val="0"/>
        </ns0:dLbls>
        <ns0:axId val="48650112"/>
        <ns0:axId val="48672768"/>
        <ns0:grouping val="clustered"/>
      </ns0:barChart>
      <ns0:catAx>
        <ns0:axId val="48650112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low"/>
        <ns0:txPr>
          <ns1:bodyPr anchorCtr="1"/>
          <ns1:lstStyle/>
          <ns1:p>
            <ns1:pPr>
              <ns1:defRPr sz="750">
                <ns1:latin typeface="Calibri"/>
                <ns1:ea typeface="Calibri"/>
                <ns1:cs typeface="Calibri"/>
              </ns1:defRPr>
            </ns1:pPr>
          </ns1:p>
        </ns0:txPr>
        <ns0:crossAx val="48672768"/>
      </ns0:catAx>
      <ns0:valAx>
        <ns0:axId val="48672768"/>
        <ns0:scaling>
          <ns0:orientation val="minMax"/>
          <ns0:max val="100"/>
          <ns0:min val="-100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750">
                <ns1:latin typeface="Calibri"/>
                <ns1:ea typeface="Calibri"/>
                <ns1:cs typeface="Calibri"/>
              </ns1:defRPr>
            </ns1:pPr>
          </ns1:p>
        </ns0:txPr>
        <ns0:crossAx val="48650112"/>
        <ns0:crossesAt val="-100"/>
        <ns0:crossBetween val="between"/>
        <ns0:majorUnit val="20"/>
      </ns0:valAx>
    </ns0:plotArea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75">
                <ns1:latin typeface="Calibri"/>
                <ns1:ea typeface="Calibri"/>
                <ns1:cs typeface="Calibri"/>
              </ns1:rPr>
              <ns1:t>整体满意度完整分布</ns1:t>
            </ns1:r>
          </ns1:p>
        </ns0:rich>
      </ns0:tx>
      <ns0:overlay val="0"/>
      <ns0:txPr>
        <ns1:bodyPr anchorCtr="1"/>
        <ns1:lstStyle/>
        <ns1:p>
          <ns1:pPr>
            <ns1:defRPr sz="975">
              <ns1:latin typeface="Calibri"/>
              <ns1:ea typeface="Calibri"/>
              <ns1:cs typeface="Calibri"/>
            </ns1:defRPr>
          </ns1:pPr>
        </ns1:p>
      </ns0:txPr>
    </ns0:title>
    <ns0:plotArea>
      <ns0:barChart>
        <ns0:barDir val="bar"/>
        <ns0:varyColors val="0"/>
        <ns0:ser>
          <ns0:idx val="0"/>
          <ns0:order val="0"/>
          <ns0:tx>
            <ns0:v>很不满意</ns0:v>
          </ns0:tx>
          <ns0:spPr>
            <ns1:solidFill>
              <ns1:srgbClr val="BF6F68"/>
            </ns1:solidFill>
          </ns0:spPr>
          <ns0:cat>
            <ns0:strRef>
              <ns0:f>'指标概览'!$A$58:$A$62</ns0:f>
              <ns0:strCache>
                <ns0:ptCount val="0"/>
              </ns0:strCache>
            </ns0:strRef>
          </ns0:cat>
          <ns0:val>
            <ns0:numRef>
              <ns0:f>'指标概览'!$B$58:$B$62</ns0:f>
              <ns0:numCache>
                <ns0:formatCode>0.0%</ns0:formatCode>
                <ns0:ptCount val="0"/>
              </ns0:numCache>
            </ns0:numRef>
          </ns0:val>
        </ns0:ser>
        <ns0:ser>
          <ns0:idx val="1"/>
          <ns0:order val="1"/>
          <ns0:tx>
            <ns0:v>不满意</ns0:v>
          </ns0:tx>
          <ns0:spPr>
            <ns1:solidFill>
              <ns1:srgbClr val="DBA29C"/>
            </ns1:solidFill>
          </ns0:spPr>
          <ns0:cat>
            <ns0:strRef>
              <ns0:f>'指标概览'!$A$58:$A$62</ns0:f>
              <ns0:strCache>
                <ns0:ptCount val="0"/>
              </ns0:strCache>
            </ns0:strRef>
          </ns0:cat>
          <ns0:val>
            <ns0:numRef>
              <ns0:f>'指标概览'!$C$58:$C$62</ns0:f>
              <ns0:numCache>
                <ns0:formatCode>0.0%</ns0:formatCode>
                <ns0:ptCount val="0"/>
              </ns0:numCache>
            </ns0:numRef>
          </ns0:val>
        </ns0:ser>
        <ns0:ser>
          <ns0:idx val="2"/>
          <ns0:order val="2"/>
          <ns0:tx>
            <ns0:v>一般</ns0:v>
          </ns0:tx>
          <ns0:spPr>
            <ns1:solidFill>
              <ns1:srgbClr val="D9DEE4"/>
            </ns1:solidFill>
          </ns0:spPr>
          <ns0:cat>
            <ns0:strRef>
              <ns0:f>'指标概览'!$A$58:$A$62</ns0:f>
              <ns0:strCache>
                <ns0:ptCount val="0"/>
              </ns0:strCache>
            </ns0:strRef>
          </ns0:cat>
          <ns0:val>
            <ns0:numRef>
              <ns0:f>'指标概览'!$D$58:$D$62</ns0:f>
              <ns0:numCache>
                <ns0:formatCode>0.0%</ns0:formatCode>
                <ns0:ptCount val="0"/>
              </ns0:numCache>
            </ns0:numRef>
          </ns0:val>
        </ns0:ser>
        <ns0:ser>
          <ns0:idx val="3"/>
          <ns0:order val="3"/>
          <ns0:tx>
            <ns0:v>满意</ns0:v>
          </ns0:tx>
          <ns0:spPr>
            <ns1:solidFill>
              <ns1:srgbClr val="92B5CC"/>
            </ns1:solidFill>
          </ns0:spPr>
          <ns0:cat>
            <ns0:strRef>
              <ns0:f>'指标概览'!$A$58:$A$62</ns0:f>
              <ns0:strCache>
                <ns0:ptCount val="0"/>
              </ns0:strCache>
            </ns0:strRef>
          </ns0:cat>
          <ns0:val>
            <ns0:numRef>
              <ns0:f>'指标概览'!$E$58:$E$62</ns0:f>
              <ns0:numCache>
                <ns0:formatCode>0.0%</ns0:formatCode>
                <ns0:ptCount val="0"/>
              </ns0:numCache>
            </ns0:numRef>
          </ns0:val>
        </ns0:ser>
        <ns0:ser>
          <ns0:idx val="4"/>
          <ns0:order val="4"/>
          <ns0:tx>
            <ns0:v>非常满意</ns0:v>
          </ns0:tx>
          <ns0:spPr>
            <ns1:solidFill>
              <ns1:srgbClr val="477EA3"/>
            </ns1:solidFill>
          </ns0:spPr>
          <ns0:cat>
            <ns0:strRef>
              <ns0:f>'指标概览'!$A$58:$A$62</ns0:f>
              <ns0:strCache>
                <ns0:ptCount val="0"/>
              </ns0:strCache>
            </ns0:strRef>
          </ns0:cat>
          <ns0:val>
            <ns0:numRef>
              <ns0:f>'指标概览'!$F$58:$F$62</ns0:f>
              <ns0:numCache>
                <ns0:formatCode>0.0%</ns0:formatCode>
                <ns0:ptCount val="0"/>
              </ns0:numCache>
            </ns0:numRef>
          </ns0:val>
        </ns0:ser>
        <ns0:axId val="48650112"/>
        <ns0:axId val="48672768"/>
        <ns0:grouping val="percentStacked"/>
        <ns0:overlap val="100"/>
      </ns0:barChart>
      <ns0:catAx>
        <ns0:axId val="48650112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low"/>
        <ns0:txPr>
          <ns1:bodyPr anchorCtr="1"/>
          <ns1:lstStyle/>
          <ns1:p>
            <ns1:pPr>
              <ns1:defRPr sz="750">
                <ns1:latin typeface="Calibri"/>
                <ns1:ea typeface="Calibri"/>
                <ns1:cs typeface="Calibri"/>
              </ns1:defRPr>
            </ns1:pPr>
          </ns1:p>
        </ns0:txPr>
        <ns0:crossAx val="48672768"/>
      </ns0:catAx>
      <ns0:valAx>
        <ns0:axId val="48672768"/>
        <ns0:scaling>
          <ns0:orientation val="minMax"/>
          <ns0:max val="1"/>
          <ns0:min val="0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%" sourceLinked="0"/>
        <ns0:majorTickMark val="none"/>
        <ns0:minorTickMark val="none"/>
        <ns0:txPr>
          <ns1:bodyPr anchorCtr="1"/>
          <ns1:lstStyle/>
          <ns1:p>
            <ns1:pPr>
              <ns1:defRPr sz="750">
                <ns1:latin typeface="Calibri"/>
                <ns1:ea typeface="Calibri"/>
                <ns1:cs typeface="Calibri"/>
              </ns1:defRPr>
            </ns1:pPr>
          </ns1:p>
        </ns0:txPr>
        <ns0:crossAx val="48650112"/>
        <ns0:crossBetween val="between"/>
        <ns0:majorUnit val="0.2"/>
      </ns0:valAx>
    </ns0:plotArea>
    <ns0:legend>
      <ns0:legendPos val="t"/>
      <ns0:overlay val="0"/>
      <ns0:txPr>
        <ns1:bodyPr anchorCtr="1"/>
        <ns1:lstStyle/>
        <ns1:p>
          <ns1:pPr>
            <ns1:defRPr sz="750">
              <ns1:latin typeface="Calibri"/>
              <ns1:ea typeface="Calibri"/>
              <ns1:cs typeface="Calibri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d426002c3f47cb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4e5cd184824629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12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ab341140c8429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8ca308c69a43ee" /></Relationships>
</file>

<file path=xl/worksheets/sheet1.xml><?xml version="1.0" encoding="utf-8"?>
<x:worksheet xmlns:x="http://schemas.openxmlformats.org/spreadsheetml/2006/main">
  <x:sheetPr>
    <x:tabColor rgb="FF24415B"/>
  </x:sheetPr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0" customHeight="1">
      <x:c r="A1" s="2" t="str">
        <x:v>《星港计划》概念测试体验问卷（合成案例） 指标概览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 ht="28" customHeight="1">
      <x:c r="A3" s="241" t="str">
        <x:v>查看分组族</x:v>
      </x:c>
      <x:c r="B3" s="242" t="str">
        <x:v>玩家经验互斥</x:v>
      </x:c>
      <x:c r="C3" s="245" t="str">
        <x:v>选择一个分组族；指标后显示有效 n、显著高于的列字母与样本标记。</x:v>
      </x:c>
      <x:c r="D3" s="245"/>
      <x:c r="E3" s="245"/>
      <x:c r="F3" s="245"/>
      <x:c r="G3" s="245"/>
      <x:c r="H3" s="245"/>
      <x:c r="I3" s="245"/>
      <x:c r="J3" s="245"/>
      <x:c r="K3" s="245"/>
    </x:row>
    <x:row r="5" ht="34" customHeight="1">
      <x:c r="A5" s="5" t="str">
        <x:v>热力色深浅表示数值高低，不表示显著性或好坏；显著性看相邻字母（同族，p &lt; 0.1）。† n &lt; 30；‡ 定义性分组。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7" ht="40" customHeight="1">
      <x:c r="A7" s="247" t="str">
        <x:v>人群</x:v>
      </x:c>
      <x:c r="B7" s="247" t="str">
        <x:v>整体满意度 T2B</x:v>
      </x:c>
      <x:c r="C7" s="247" t="str">
        <x:v>有效n / 显著性</x:v>
      </x:c>
      <x:c r="D7" s="247" t="str">
        <x:v>上手表现 T2B</x:v>
      </x:c>
      <x:c r="E7" s="247" t="str">
        <x:v>有效n / 显著性</x:v>
      </x:c>
      <x:c r="F7" s="247" t="str">
        <x:v>继续游玩意愿 T2B</x:v>
      </x:c>
      <x:c r="G7" s="247" t="str">
        <x:v>有效n / 显著性</x:v>
      </x:c>
      <x:c r="H7" s="247" t="str">
        <x:v>NPS 推荐意愿</x:v>
      </x:c>
      <x:c r="I7" s="247" t="str">
        <x:v>有效n / 显著性</x:v>
      </x:c>
    </x:row>
    <x:row r="8" ht="32" customHeight="1">
      <x:c r="A8" s="26" t="str">
        <x:f>IFERROR(INDEX($B$120:$B$149,MATCH($B$3&amp;"::0",$A$120:$A$149,0)),"")</x:f>
        <x:v>Total</x:v>
      </x:c>
      <x:c r="B8" s="29" t="n">
        <x:f>IF($A8="","",IFERROR(INDEX($D$120:$D$149,MATCH($B$3&amp;"::0",$A$120:$A$149,0)),""))</x:f>
        <x:v>0.5055555555555555</x:v>
      </x:c>
      <x:c r="C8" s="20" t="str">
        <x:f>IF($A8="","",IFERROR(INDEX($E$120:$E$149,MATCH($B$3&amp;"::0",$A$120:$A$149,0)),""))</x:f>
        <x:v>n=180</x:v>
      </x:c>
      <x:c r="D8" s="29" t="n">
        <x:f>IF($A8="","",IFERROR(INDEX($F$120:$F$149,MATCH($B$3&amp;"::0",$A$120:$A$149,0)),""))</x:f>
        <x:v>0.43103448275862066</x:v>
      </x:c>
      <x:c r="E8" s="20" t="str">
        <x:f>IF($A8="","",IFERROR(INDEX($G$120:$G$149,MATCH($B$3&amp;"::0",$A$120:$A$149,0)),""))</x:f>
        <x:v>n=174</x:v>
      </x:c>
      <x:c r="F8" s="29" t="n">
        <x:f>IF($A8="","",IFERROR(INDEX($H$120:$H$149,MATCH($B$3&amp;"::0",$A$120:$A$149,0)),""))</x:f>
        <x:v>0.32222222222222224</x:v>
      </x:c>
      <x:c r="G8" s="20" t="str">
        <x:f>IF($A8="","",IFERROR(INDEX($I$120:$I$149,MATCH($B$3&amp;"::0",$A$120:$A$149,0)),""))</x:f>
        <x:v>n=180</x:v>
      </x:c>
      <x:c r="H8" s="254" t="n">
        <x:f>IF($A8="","",IFERROR(INDEX($J$120:$J$149,MATCH($B$3&amp;"::0",$A$120:$A$149,0)),""))</x:f>
        <x:v>10.857142857142858</x:v>
      </x:c>
      <x:c r="I8" s="20" t="str">
        <x:f>IF($A8="","",IFERROR(INDEX($K$120:$K$149,MATCH($B$3&amp;"::0",$A$120:$A$149,0)),""))</x:f>
        <x:v>n=175</x:v>
      </x:c>
    </x:row>
    <x:row r="9" ht="32" customHeight="1">
      <x:c r="A9" s="26" t="str">
        <x:f>IFERROR(INDEX($B$120:$B$149,MATCH($B$3&amp;"::1",$A$120:$A$149,0)),"")</x:f>
        <x:v>横版动作核心 (A)</x:v>
      </x:c>
      <x:c r="B9" s="29" t="n">
        <x:f>IF($A9="","",IFERROR(INDEX($D$120:$D$149,MATCH($B$3&amp;"::1",$A$120:$A$149,0)),""))</x:f>
        <x:v>0.6885245901639344</x:v>
      </x:c>
      <x:c r="C9" s="20" t="str">
        <x:f>IF($A9="","",IFERROR(INDEX($E$120:$E$149,MATCH($B$3&amp;"::1",$A$120:$A$149,0)),""))</x:f>
        <x:v>n=61；B、D</x:v>
      </x:c>
      <x:c r="D9" s="29" t="n">
        <x:f>IF($A9="","",IFERROR(INDEX($F$120:$F$149,MATCH($B$3&amp;"::1",$A$120:$A$149,0)),""))</x:f>
        <x:v>0.6610169491525424</x:v>
      </x:c>
      <x:c r="E9" s="20" t="str">
        <x:f>IF($A9="","",IFERROR(INDEX($G$120:$G$149,MATCH($B$3&amp;"::1",$A$120:$A$149,0)),""))</x:f>
        <x:v>n=59；B、C、D</x:v>
      </x:c>
      <x:c r="F9" s="29" t="n">
        <x:f>IF($A9="","",IFERROR(INDEX($H$120:$H$149,MATCH($B$3&amp;"::1",$A$120:$A$149,0)),""))</x:f>
        <x:v>0.4426229508196721</x:v>
      </x:c>
      <x:c r="G9" s="20" t="str">
        <x:f>IF($A9="","",IFERROR(INDEX($I$120:$I$149,MATCH($B$3&amp;"::1",$A$120:$A$149,0)),""))</x:f>
        <x:v>n=61；B、D</x:v>
      </x:c>
      <x:c r="H9" s="254" t="n">
        <x:f>IF($A9="","",IFERROR(INDEX($J$120:$J$149,MATCH($B$3&amp;"::1",$A$120:$A$149,0)),""))</x:f>
        <x:v>44.06779661016949</x:v>
      </x:c>
      <x:c r="I9" s="20" t="str">
        <x:f>IF($A9="","",IFERROR(INDEX($K$120:$K$149,MATCH($B$3&amp;"::1",$A$120:$A$149,0)),""))</x:f>
        <x:v>n=59；B、C、D</x:v>
      </x:c>
    </x:row>
    <x:row r="10" ht="32" customHeight="1">
      <x:c r="A10" s="26" t="str">
        <x:f>IFERROR(INDEX($B$120:$B$149,MATCH($B$3&amp;"::2",$A$120:$A$149,0)),"")</x:f>
        <x:v>二游ARPG (B)</x:v>
      </x:c>
      <x:c r="B10" s="29" t="n">
        <x:f>IF($A10="","",IFERROR(INDEX($D$120:$D$149,MATCH($B$3&amp;"::2",$A$120:$A$149,0)),""))</x:f>
        <x:v>0.5263157894736842</x:v>
      </x:c>
      <x:c r="C10" s="20" t="str">
        <x:f>IF($A10="","",IFERROR(INDEX($E$120:$E$149,MATCH($B$3&amp;"::2",$A$120:$A$149,0)),""))</x:f>
        <x:v>n=57；D</x:v>
      </x:c>
      <x:c r="D10" s="29" t="n">
        <x:f>IF($A10="","",IFERROR(INDEX($F$120:$F$149,MATCH($B$3&amp;"::2",$A$120:$A$149,0)),""))</x:f>
        <x:v>0.32142857142857145</x:v>
      </x:c>
      <x:c r="E10" s="20" t="str">
        <x:f>IF($A10="","",IFERROR(INDEX($G$120:$G$149,MATCH($B$3&amp;"::2",$A$120:$A$149,0)),""))</x:f>
        <x:v>n=56</x:v>
      </x:c>
      <x:c r="F10" s="29" t="n">
        <x:f>IF($A10="","",IFERROR(INDEX($H$120:$H$149,MATCH($B$3&amp;"::2",$A$120:$A$149,0)),""))</x:f>
        <x:v>0.2807017543859649</x:v>
      </x:c>
      <x:c r="G10" s="20" t="str">
        <x:f>IF($A10="","",IFERROR(INDEX($I$120:$I$149,MATCH($B$3&amp;"::2",$A$120:$A$149,0)),""))</x:f>
        <x:v>n=57</x:v>
      </x:c>
      <x:c r="H10" s="254" t="n">
        <x:f>IF($A10="","",IFERROR(INDEX($J$120:$J$149,MATCH($B$3&amp;"::2",$A$120:$A$149,0)),""))</x:f>
        <x:v>12.280701754385964</x:v>
      </x:c>
      <x:c r="I10" s="20" t="str">
        <x:f>IF($A10="","",IFERROR(INDEX($K$120:$K$149,MATCH($B$3&amp;"::2",$A$120:$A$149,0)),""))</x:f>
        <x:v>n=57；D</x:v>
      </x:c>
    </x:row>
    <x:row r="11" ht="32" customHeight="1">
      <x:c r="A11" s="26" t="str">
        <x:f>IFERROR(INDEX($B$120:$B$149,MATCH($B$3&amp;"::3",$A$120:$A$149,0)),"")</x:f>
        <x:v>银河恶魔城 (C)</x:v>
      </x:c>
      <x:c r="B11" s="29" t="n">
        <x:f>IF($A11="","",IFERROR(INDEX($D$120:$D$149,MATCH($B$3&amp;"::3",$A$120:$A$149,0)),""))</x:f>
        <x:v>0.56</x:v>
      </x:c>
      <x:c r="C11" s="20" t="str">
        <x:f>IF($A11="","",IFERROR(INDEX($E$120:$E$149,MATCH($B$3&amp;"::3",$A$120:$A$149,0)),""))</x:f>
        <x:v>n=25；D †</x:v>
      </x:c>
      <x:c r="D11" s="29" t="n">
        <x:f>IF($A11="","",IFERROR(INDEX($F$120:$F$149,MATCH($B$3&amp;"::3",$A$120:$A$149,0)),""))</x:f>
        <x:v>0.2916666666666667</x:v>
      </x:c>
      <x:c r="E11" s="20" t="str">
        <x:f>IF($A11="","",IFERROR(INDEX($G$120:$G$149,MATCH($B$3&amp;"::3",$A$120:$A$149,0)),""))</x:f>
        <x:v>n=24 †</x:v>
      </x:c>
      <x:c r="F11" s="29" t="n">
        <x:f>IF($A11="","",IFERROR(INDEX($H$120:$H$149,MATCH($B$3&amp;"::3",$A$120:$A$149,0)),""))</x:f>
        <x:v>0.36</x:v>
      </x:c>
      <x:c r="G11" s="20" t="str">
        <x:f>IF($A11="","",IFERROR(INDEX($I$120:$I$149,MATCH($B$3&amp;"::3",$A$120:$A$149,0)),""))</x:f>
        <x:v>n=25；D †</x:v>
      </x:c>
      <x:c r="H11" s="254" t="n">
        <x:f>IF($A11="","",IFERROR(INDEX($J$120:$J$149,MATCH($B$3&amp;"::3",$A$120:$A$149,0)),""))</x:f>
        <x:v>13.043478260869565</x:v>
      </x:c>
      <x:c r="I11" s="20" t="str">
        <x:f>IF($A11="","",IFERROR(INDEX($K$120:$K$149,MATCH($B$3&amp;"::3",$A$120:$A$149,0)),""))</x:f>
        <x:v>n=23；D †</x:v>
      </x:c>
    </x:row>
    <x:row r="12" ht="32" customHeight="1">
      <x:c r="A12" s="26" t="str">
        <x:f>IFERROR(INDEX($B$120:$B$149,MATCH($B$3&amp;"::4",$A$120:$A$149,0)),"")</x:f>
        <x:v>泛用户 (D)</x:v>
      </x:c>
      <x:c r="B12" s="29" t="n">
        <x:f>IF($A12="","",IFERROR(INDEX($D$120:$D$149,MATCH($B$3&amp;"::4",$A$120:$A$149,0)),""))</x:f>
        <x:v>0.13513513513513514</x:v>
      </x:c>
      <x:c r="C12" s="20" t="str">
        <x:f>IF($A12="","",IFERROR(INDEX($E$120:$E$149,MATCH($B$3&amp;"::4",$A$120:$A$149,0)),""))</x:f>
        <x:v>n=37</x:v>
      </x:c>
      <x:c r="D12" s="29" t="n">
        <x:f>IF($A12="","",IFERROR(INDEX($F$120:$F$149,MATCH($B$3&amp;"::4",$A$120:$A$149,0)),""))</x:f>
        <x:v>0.3142857142857143</x:v>
      </x:c>
      <x:c r="E12" s="20" t="str">
        <x:f>IF($A12="","",IFERROR(INDEX($G$120:$G$149,MATCH($B$3&amp;"::4",$A$120:$A$149,0)),""))</x:f>
        <x:v>n=35</x:v>
      </x:c>
      <x:c r="F12" s="29" t="n">
        <x:f>IF($A12="","",IFERROR(INDEX($H$120:$H$149,MATCH($B$3&amp;"::4",$A$120:$A$149,0)),""))</x:f>
        <x:v>0.16216216216216217</x:v>
      </x:c>
      <x:c r="G12" s="20" t="str">
        <x:f>IF($A12="","",IFERROR(INDEX($I$120:$I$149,MATCH($B$3&amp;"::4",$A$120:$A$149,0)),""))</x:f>
        <x:v>n=37</x:v>
      </x:c>
      <x:c r="H12" s="254" t="n">
        <x:f>IF($A12="","",IFERROR(INDEX($J$120:$J$149,MATCH($B$3&amp;"::4",$A$120:$A$149,0)),""))</x:f>
        <x:v>-47.22222222222222</x:v>
      </x:c>
      <x:c r="I12" s="20" t="str">
        <x:f>IF($A12="","",IFERROR(INDEX($K$120:$K$149,MATCH($B$3&amp;"::4",$A$120:$A$149,0)),""))</x:f>
        <x:v>n=36</x:v>
      </x:c>
    </x:row>
    <x:row r="57" ht="25" customHeight="1">
      <x:c r="A57" s="241" t="str">
        <x:v>人群</x:v>
      </x:c>
      <x:c r="B57" s="241" t="str">
        <x:v>很不满意</x:v>
      </x:c>
      <x:c r="C57" s="241" t="str">
        <x:v>不满意</x:v>
      </x:c>
      <x:c r="D57" s="241" t="str">
        <x:v>一般</x:v>
      </x:c>
      <x:c r="E57" s="241" t="str">
        <x:v>满意</x:v>
      </x:c>
      <x:c r="F57" s="241" t="str">
        <x:v>非常满意</x:v>
      </x:c>
    </x:row>
    <x:row r="58" ht="25" customHeight="1">
      <x:c r="A58" s="241" t="str">
        <x:f>A8</x:f>
        <x:v>Total</x:v>
      </x:c>
      <x:c r="B58" s="255" t="n">
        <x:f>IF(A58="","",IFERROR(INDEX($L$120:$L$149,MATCH($B$3&amp;"::0",$A$120:$A$149,0)),""))</x:f>
        <x:v>0.016666666666666666</x:v>
      </x:c>
      <x:c r="C58" s="255" t="n">
        <x:f>IF(A58="","",IFERROR(INDEX($M$120:$M$149,MATCH($B$3&amp;"::0",$A$120:$A$149,0)),""))</x:f>
        <x:v>0.15555555555555556</x:v>
      </x:c>
      <x:c r="D58" s="255" t="n">
        <x:f>IF(A58="","",IFERROR(INDEX($N$120:$N$149,MATCH($B$3&amp;"::0",$A$120:$A$149,0)),""))</x:f>
        <x:v>0.32222222222222224</x:v>
      </x:c>
      <x:c r="E58" s="255" t="n">
        <x:f>IF(A58="","",IFERROR(INDEX($O$120:$O$149,MATCH($B$3&amp;"::0",$A$120:$A$149,0)),""))</x:f>
        <x:v>0.4222222222222222</x:v>
      </x:c>
      <x:c r="F58" s="255" t="n">
        <x:f>IF(A58="","",IFERROR(INDEX($P$120:$P$149,MATCH($B$3&amp;"::0",$A$120:$A$149,0)),""))</x:f>
        <x:v>0.08333333333333333</x:v>
      </x:c>
    </x:row>
    <x:row r="59" ht="25" customHeight="1">
      <x:c r="A59" s="241" t="str">
        <x:f>A9</x:f>
        <x:v>横版动作核心 (A)</x:v>
      </x:c>
      <x:c r="B59" s="255" t="n">
        <x:f>IF(A59="","",IFERROR(INDEX($L$120:$L$149,MATCH($B$3&amp;"::1",$A$120:$A$149,0)),""))</x:f>
        <x:v>0</x:v>
      </x:c>
      <x:c r="C59" s="255" t="n">
        <x:f>IF(A59="","",IFERROR(INDEX($M$120:$M$149,MATCH($B$3&amp;"::1",$A$120:$A$149,0)),""))</x:f>
        <x:v>0.04918032786885246</x:v>
      </x:c>
      <x:c r="D59" s="255" t="n">
        <x:f>IF(A59="","",IFERROR(INDEX($N$120:$N$149,MATCH($B$3&amp;"::1",$A$120:$A$149,0)),""))</x:f>
        <x:v>0.26229508196721313</x:v>
      </x:c>
      <x:c r="E59" s="255" t="n">
        <x:f>IF(A59="","",IFERROR(INDEX($O$120:$O$149,MATCH($B$3&amp;"::1",$A$120:$A$149,0)),""))</x:f>
        <x:v>0.5245901639344263</x:v>
      </x:c>
      <x:c r="F59" s="255" t="n">
        <x:f>IF(A59="","",IFERROR(INDEX($P$120:$P$149,MATCH($B$3&amp;"::1",$A$120:$A$149,0)),""))</x:f>
        <x:v>0.16393442622950818</x:v>
      </x:c>
    </x:row>
    <x:row r="60" ht="25" customHeight="1">
      <x:c r="A60" s="241" t="str">
        <x:f>A10</x:f>
        <x:v>二游ARPG (B)</x:v>
      </x:c>
      <x:c r="B60" s="255" t="n">
        <x:f>IF(A60="","",IFERROR(INDEX($L$120:$L$149,MATCH($B$3&amp;"::2",$A$120:$A$149,0)),""))</x:f>
        <x:v>0</x:v>
      </x:c>
      <x:c r="C60" s="255" t="n">
        <x:f>IF(A60="","",IFERROR(INDEX($M$120:$M$149,MATCH($B$3&amp;"::2",$A$120:$A$149,0)),""))</x:f>
        <x:v>0.08771929824561403</x:v>
      </x:c>
      <x:c r="D60" s="255" t="n">
        <x:f>IF(A60="","",IFERROR(INDEX($N$120:$N$149,MATCH($B$3&amp;"::2",$A$120:$A$149,0)),""))</x:f>
        <x:v>0.38596491228070173</x:v>
      </x:c>
      <x:c r="E60" s="255" t="n">
        <x:f>IF(A60="","",IFERROR(INDEX($O$120:$O$149,MATCH($B$3&amp;"::2",$A$120:$A$149,0)),""))</x:f>
        <x:v>0.49122807017543857</x:v>
      </x:c>
      <x:c r="F60" s="255" t="n">
        <x:f>IF(A60="","",IFERROR(INDEX($P$120:$P$149,MATCH($B$3&amp;"::2",$A$120:$A$149,0)),""))</x:f>
        <x:v>0.03508771929824561</x:v>
      </x:c>
    </x:row>
    <x:row r="61" ht="25" customHeight="1">
      <x:c r="A61" s="241" t="str">
        <x:f>A11</x:f>
        <x:v>银河恶魔城 (C)</x:v>
      </x:c>
      <x:c r="B61" s="255" t="n">
        <x:f>IF(A61="","",IFERROR(INDEX($L$120:$L$149,MATCH($B$3&amp;"::3",$A$120:$A$149,0)),""))</x:f>
        <x:v>0</x:v>
      </x:c>
      <x:c r="C61" s="255" t="n">
        <x:f>IF(A61="","",IFERROR(INDEX($M$120:$M$149,MATCH($B$3&amp;"::3",$A$120:$A$149,0)),""))</x:f>
        <x:v>0.04</x:v>
      </x:c>
      <x:c r="D61" s="255" t="n">
        <x:f>IF(A61="","",IFERROR(INDEX($N$120:$N$149,MATCH($B$3&amp;"::3",$A$120:$A$149,0)),""))</x:f>
        <x:v>0.4</x:v>
      </x:c>
      <x:c r="E61" s="255" t="n">
        <x:f>IF(A61="","",IFERROR(INDEX($O$120:$O$149,MATCH($B$3&amp;"::3",$A$120:$A$149,0)),""))</x:f>
        <x:v>0.44</x:v>
      </x:c>
      <x:c r="F61" s="255" t="n">
        <x:f>IF(A61="","",IFERROR(INDEX($P$120:$P$149,MATCH($B$3&amp;"::3",$A$120:$A$149,0)),""))</x:f>
        <x:v>0.12</x:v>
      </x:c>
    </x:row>
    <x:row r="62" ht="25" customHeight="1">
      <x:c r="A62" s="241" t="str">
        <x:f>A12</x:f>
        <x:v>泛用户 (D)</x:v>
      </x:c>
      <x:c r="B62" s="255" t="n">
        <x:f>IF(A62="","",IFERROR(INDEX($L$120:$L$149,MATCH($B$3&amp;"::4",$A$120:$A$149,0)),""))</x:f>
        <x:v>0.08108108108108109</x:v>
      </x:c>
      <x:c r="C62" s="255" t="n">
        <x:f>IF(A62="","",IFERROR(INDEX($M$120:$M$149,MATCH($B$3&amp;"::4",$A$120:$A$149,0)),""))</x:f>
        <x:v>0.5135135135135135</x:v>
      </x:c>
      <x:c r="D62" s="255" t="n">
        <x:f>IF(A62="","",IFERROR(INDEX($N$120:$N$149,MATCH($B$3&amp;"::4",$A$120:$A$149,0)),""))</x:f>
        <x:v>0.2702702702702703</x:v>
      </x:c>
      <x:c r="E62" s="255" t="n">
        <x:f>IF(A62="","",IFERROR(INDEX($O$120:$O$149,MATCH($B$3&amp;"::4",$A$120:$A$149,0)),""))</x:f>
        <x:v>0.13513513513513514</x:v>
      </x:c>
      <x:c r="F62" s="255" t="n">
        <x:f>IF(A62="","",IFERROR(INDEX($P$120:$P$149,MATCH($B$3&amp;"::4",$A$120:$A$149,0)),""))</x:f>
        <x:v>0</x:v>
      </x:c>
    </x:row>
    <x:row r="118">
      <x:c r="A118" t="str">
        <x:v>分群指标明细（下拉和图表数据源）</x:v>
      </x:c>
    </x:row>
    <x:row r="120" ht="22" customHeight="1">
      <x:c r="A120" s="241" t="str">
        <x:v>玩家经验互斥::0</x:v>
      </x:c>
      <x:c r="B120" s="241" t="str">
        <x:v>Total</x:v>
      </x:c>
      <x:c r="C120" s="241" t="n">
        <x:v>180</x:v>
      </x:c>
      <x:c r="D120" s="241" t="n">
        <x:f>IF(ISNUMBER('体验问卷大表'!B34),'体验问卷大表'!B34,"")</x:f>
        <x:v>0.5055555555555555</x:v>
      </x:c>
      <x:c r="E120" s="241" t="str">
        <x:v>n=180</x:v>
      </x:c>
      <x:c r="F120" s="241" t="n">
        <x:f>IF(ISNUMBER('体验问卷大表'!B50),'体验问卷大表'!B50,"")</x:f>
        <x:v>0.43103448275862066</x:v>
      </x:c>
      <x:c r="G120" s="241" t="str">
        <x:v>n=174</x:v>
      </x:c>
      <x:c r="H120" s="241" t="n">
        <x:f>IF(ISNUMBER('体验问卷大表'!B66),'体验问卷大表'!B66,"")</x:f>
        <x:v>0.32222222222222224</x:v>
      </x:c>
      <x:c r="I120" s="241" t="str">
        <x:v>n=180</x:v>
      </x:c>
      <x:c r="J120" s="241" t="n">
        <x:f>IF(ISNUMBER('体验问卷大表'!B130),'体验问卷大表'!B130,"")</x:f>
        <x:v>10.857142857142858</x:v>
      </x:c>
      <x:c r="K120" s="241" t="str">
        <x:v>n=175</x:v>
      </x:c>
      <x:c r="L120" s="241" t="n">
        <x:f>IF(ISNUMBER('体验问卷大表'!B36),'体验问卷大表'!B36,"")</x:f>
        <x:v>0.016666666666666666</x:v>
      </x:c>
      <x:c r="M120" s="241" t="n">
        <x:f>IF(ISNUMBER('体验问卷大表'!B37),'体验问卷大表'!B37,"")</x:f>
        <x:v>0.15555555555555556</x:v>
      </x:c>
      <x:c r="N120" s="241" t="n">
        <x:f>IF(ISNUMBER('体验问卷大表'!B38),'体验问卷大表'!B38,"")</x:f>
        <x:v>0.32222222222222224</x:v>
      </x:c>
      <x:c r="O120" s="241" t="n">
        <x:f>IF(ISNUMBER('体验问卷大表'!B39),'体验问卷大表'!B39,"")</x:f>
        <x:v>0.4222222222222222</x:v>
      </x:c>
      <x:c r="P120" s="241" t="n">
        <x:f>IF(ISNUMBER('体验问卷大表'!B40),'体验问卷大表'!B40,"")</x:f>
        <x:v>0.08333333333333333</x:v>
      </x:c>
    </x:row>
    <x:row r="121" ht="22" customHeight="1">
      <x:c r="A121" s="241" t="str">
        <x:v>玩家经验互斥::1</x:v>
      </x:c>
      <x:c r="B121" s="241" t="str">
        <x:v>横版动作核心 (A)</x:v>
      </x:c>
      <x:c r="C121" s="241" t="n">
        <x:v>61</x:v>
      </x:c>
      <x:c r="D121" s="241" t="n">
        <x:f>IF(ISNUMBER('体验问卷大表'!C34),'体验问卷大表'!C34,"")</x:f>
        <x:v>0.6885245901639344</x:v>
      </x:c>
      <x:c r="E121" s="241" t="str">
        <x:v>n=61；B、D</x:v>
      </x:c>
      <x:c r="F121" s="241" t="n">
        <x:f>IF(ISNUMBER('体验问卷大表'!C50),'体验问卷大表'!C50,"")</x:f>
        <x:v>0.6610169491525424</x:v>
      </x:c>
      <x:c r="G121" s="241" t="str">
        <x:v>n=59；B、C、D</x:v>
      </x:c>
      <x:c r="H121" s="241" t="n">
        <x:f>IF(ISNUMBER('体验问卷大表'!C66),'体验问卷大表'!C66,"")</x:f>
        <x:v>0.4426229508196721</x:v>
      </x:c>
      <x:c r="I121" s="241" t="str">
        <x:v>n=61；B、D</x:v>
      </x:c>
      <x:c r="J121" s="241" t="n">
        <x:f>IF(ISNUMBER('体验问卷大表'!C130),'体验问卷大表'!C130,"")</x:f>
        <x:v>44.06779661016949</x:v>
      </x:c>
      <x:c r="K121" s="241" t="str">
        <x:v>n=59；B、C、D</x:v>
      </x:c>
      <x:c r="L121" s="241" t="n">
        <x:f>IF(ISNUMBER('体验问卷大表'!C36),'体验问卷大表'!C36,"")</x:f>
        <x:v>0</x:v>
      </x:c>
      <x:c r="M121" s="241" t="n">
        <x:f>IF(ISNUMBER('体验问卷大表'!C37),'体验问卷大表'!C37,"")</x:f>
        <x:v>0.04918032786885246</x:v>
      </x:c>
      <x:c r="N121" s="241" t="n">
        <x:f>IF(ISNUMBER('体验问卷大表'!C38),'体验问卷大表'!C38,"")</x:f>
        <x:v>0.26229508196721313</x:v>
      </x:c>
      <x:c r="O121" s="241" t="n">
        <x:f>IF(ISNUMBER('体验问卷大表'!C39),'体验问卷大表'!C39,"")</x:f>
        <x:v>0.5245901639344263</x:v>
      </x:c>
      <x:c r="P121" s="241" t="n">
        <x:f>IF(ISNUMBER('体验问卷大表'!C40),'体验问卷大表'!C40,"")</x:f>
        <x:v>0.16393442622950818</x:v>
      </x:c>
    </x:row>
    <x:row r="122" ht="22" customHeight="1">
      <x:c r="A122" s="241" t="str">
        <x:v>玩家经验互斥::2</x:v>
      </x:c>
      <x:c r="B122" s="241" t="str">
        <x:v>二游ARPG (B)</x:v>
      </x:c>
      <x:c r="C122" s="241" t="n">
        <x:v>57</x:v>
      </x:c>
      <x:c r="D122" s="241" t="n">
        <x:f>IF(ISNUMBER('体验问卷大表'!D34),'体验问卷大表'!D34,"")</x:f>
        <x:v>0.5263157894736842</x:v>
      </x:c>
      <x:c r="E122" s="241" t="str">
        <x:v>n=57；D</x:v>
      </x:c>
      <x:c r="F122" s="241" t="n">
        <x:f>IF(ISNUMBER('体验问卷大表'!D50),'体验问卷大表'!D50,"")</x:f>
        <x:v>0.32142857142857145</x:v>
      </x:c>
      <x:c r="G122" s="241" t="str">
        <x:v>n=56</x:v>
      </x:c>
      <x:c r="H122" s="241" t="n">
        <x:f>IF(ISNUMBER('体验问卷大表'!D66),'体验问卷大表'!D66,"")</x:f>
        <x:v>0.2807017543859649</x:v>
      </x:c>
      <x:c r="I122" s="241" t="str">
        <x:v>n=57</x:v>
      </x:c>
      <x:c r="J122" s="241" t="n">
        <x:f>IF(ISNUMBER('体验问卷大表'!D130),'体验问卷大表'!D130,"")</x:f>
        <x:v>12.280701754385964</x:v>
      </x:c>
      <x:c r="K122" s="241" t="str">
        <x:v>n=57；D</x:v>
      </x:c>
      <x:c r="L122" s="241" t="n">
        <x:f>IF(ISNUMBER('体验问卷大表'!D36),'体验问卷大表'!D36,"")</x:f>
        <x:v>0</x:v>
      </x:c>
      <x:c r="M122" s="241" t="n">
        <x:f>IF(ISNUMBER('体验问卷大表'!D37),'体验问卷大表'!D37,"")</x:f>
        <x:v>0.08771929824561403</x:v>
      </x:c>
      <x:c r="N122" s="241" t="n">
        <x:f>IF(ISNUMBER('体验问卷大表'!D38),'体验问卷大表'!D38,"")</x:f>
        <x:v>0.38596491228070173</x:v>
      </x:c>
      <x:c r="O122" s="241" t="n">
        <x:f>IF(ISNUMBER('体验问卷大表'!D39),'体验问卷大表'!D39,"")</x:f>
        <x:v>0.49122807017543857</x:v>
      </x:c>
      <x:c r="P122" s="241" t="n">
        <x:f>IF(ISNUMBER('体验问卷大表'!D40),'体验问卷大表'!D40,"")</x:f>
        <x:v>0.03508771929824561</x:v>
      </x:c>
    </x:row>
    <x:row r="123" ht="22" customHeight="1">
      <x:c r="A123" s="241" t="str">
        <x:v>玩家经验互斥::3</x:v>
      </x:c>
      <x:c r="B123" s="241" t="str">
        <x:v>银河恶魔城 (C)</x:v>
      </x:c>
      <x:c r="C123" s="241" t="n">
        <x:v>25</x:v>
      </x:c>
      <x:c r="D123" s="241" t="n">
        <x:f>IF(ISNUMBER('体验问卷大表'!E34),'体验问卷大表'!E34,"")</x:f>
        <x:v>0.56</x:v>
      </x:c>
      <x:c r="E123" s="241" t="str">
        <x:v>n=25；D †</x:v>
      </x:c>
      <x:c r="F123" s="241" t="n">
        <x:f>IF(ISNUMBER('体验问卷大表'!E50),'体验问卷大表'!E50,"")</x:f>
        <x:v>0.2916666666666667</x:v>
      </x:c>
      <x:c r="G123" s="241" t="str">
        <x:v>n=24 †</x:v>
      </x:c>
      <x:c r="H123" s="241" t="n">
        <x:f>IF(ISNUMBER('体验问卷大表'!E66),'体验问卷大表'!E66,"")</x:f>
        <x:v>0.36</x:v>
      </x:c>
      <x:c r="I123" s="241" t="str">
        <x:v>n=25；D †</x:v>
      </x:c>
      <x:c r="J123" s="241" t="n">
        <x:f>IF(ISNUMBER('体验问卷大表'!E130),'体验问卷大表'!E130,"")</x:f>
        <x:v>13.043478260869565</x:v>
      </x:c>
      <x:c r="K123" s="241" t="str">
        <x:v>n=23；D †</x:v>
      </x:c>
      <x:c r="L123" s="241" t="n">
        <x:f>IF(ISNUMBER('体验问卷大表'!E36),'体验问卷大表'!E36,"")</x:f>
        <x:v>0</x:v>
      </x:c>
      <x:c r="M123" s="241" t="n">
        <x:f>IF(ISNUMBER('体验问卷大表'!E37),'体验问卷大表'!E37,"")</x:f>
        <x:v>0.04</x:v>
      </x:c>
      <x:c r="N123" s="241" t="n">
        <x:f>IF(ISNUMBER('体验问卷大表'!E38),'体验问卷大表'!E38,"")</x:f>
        <x:v>0.4</x:v>
      </x:c>
      <x:c r="O123" s="241" t="n">
        <x:f>IF(ISNUMBER('体验问卷大表'!E39),'体验问卷大表'!E39,"")</x:f>
        <x:v>0.44</x:v>
      </x:c>
      <x:c r="P123" s="241" t="n">
        <x:f>IF(ISNUMBER('体验问卷大表'!E40),'体验问卷大表'!E40,"")</x:f>
        <x:v>0.12</x:v>
      </x:c>
    </x:row>
    <x:row r="124" ht="22" customHeight="1">
      <x:c r="A124" s="241" t="str">
        <x:v>玩家经验互斥::4</x:v>
      </x:c>
      <x:c r="B124" s="241" t="str">
        <x:v>泛用户 (D)</x:v>
      </x:c>
      <x:c r="C124" s="241" t="n">
        <x:v>37</x:v>
      </x:c>
      <x:c r="D124" s="241" t="n">
        <x:f>IF(ISNUMBER('体验问卷大表'!F34),'体验问卷大表'!F34,"")</x:f>
        <x:v>0.13513513513513514</x:v>
      </x:c>
      <x:c r="E124" s="241" t="str">
        <x:v>n=37</x:v>
      </x:c>
      <x:c r="F124" s="241" t="n">
        <x:f>IF(ISNUMBER('体验问卷大表'!F50),'体验问卷大表'!F50,"")</x:f>
        <x:v>0.3142857142857143</x:v>
      </x:c>
      <x:c r="G124" s="241" t="str">
        <x:v>n=35</x:v>
      </x:c>
      <x:c r="H124" s="241" t="n">
        <x:f>IF(ISNUMBER('体验问卷大表'!F66),'体验问卷大表'!F66,"")</x:f>
        <x:v>0.16216216216216217</x:v>
      </x:c>
      <x:c r="I124" s="241" t="str">
        <x:v>n=37</x:v>
      </x:c>
      <x:c r="J124" s="241" t="n">
        <x:f>IF(ISNUMBER('体验问卷大表'!F130),'体验问卷大表'!F130,"")</x:f>
        <x:v>-47.22222222222222</x:v>
      </x:c>
      <x:c r="K124" s="241" t="str">
        <x:v>n=36</x:v>
      </x:c>
      <x:c r="L124" s="241" t="n">
        <x:f>IF(ISNUMBER('体验问卷大表'!F36),'体验问卷大表'!F36,"")</x:f>
        <x:v>0.08108108108108109</x:v>
      </x:c>
      <x:c r="M124" s="241" t="n">
        <x:f>IF(ISNUMBER('体验问卷大表'!F37),'体验问卷大表'!F37,"")</x:f>
        <x:v>0.5135135135135135</x:v>
      </x:c>
      <x:c r="N124" s="241" t="n">
        <x:f>IF(ISNUMBER('体验问卷大表'!F38),'体验问卷大表'!F38,"")</x:f>
        <x:v>0.2702702702702703</x:v>
      </x:c>
      <x:c r="O124" s="241" t="n">
        <x:f>IF(ISNUMBER('体验问卷大表'!F39),'体验问卷大表'!F39,"")</x:f>
        <x:v>0.13513513513513514</x:v>
      </x:c>
      <x:c r="P124" s="241" t="n">
        <x:f>IF(ISNUMBER('体验问卷大表'!F40),'体验问卷大表'!F40,"")</x:f>
        <x:v>0</x:v>
      </x:c>
    </x:row>
    <x:row r="125" ht="22" customHeight="1">
      <x:c r="A125" s="241" t="str">
        <x:v>参与平台::0</x:v>
      </x:c>
      <x:c r="B125" s="241" t="str">
        <x:v>Total</x:v>
      </x:c>
      <x:c r="C125" s="241" t="n">
        <x:v>180</x:v>
      </x:c>
      <x:c r="D125" s="241" t="n">
        <x:f>IF(ISNUMBER('体验问卷大表'!B34),'体验问卷大表'!B34,"")</x:f>
        <x:v>0.5055555555555555</x:v>
      </x:c>
      <x:c r="E125" s="241" t="str">
        <x:v>n=180</x:v>
      </x:c>
      <x:c r="F125" s="241" t="n">
        <x:f>IF(ISNUMBER('体验问卷大表'!B50),'体验问卷大表'!B50,"")</x:f>
        <x:v>0.43103448275862066</x:v>
      </x:c>
      <x:c r="G125" s="241" t="str">
        <x:v>n=174</x:v>
      </x:c>
      <x:c r="H125" s="241" t="n">
        <x:f>IF(ISNUMBER('体验问卷大表'!B66),'体验问卷大表'!B66,"")</x:f>
        <x:v>0.32222222222222224</x:v>
      </x:c>
      <x:c r="I125" s="241" t="str">
        <x:v>n=180</x:v>
      </x:c>
      <x:c r="J125" s="241" t="n">
        <x:f>IF(ISNUMBER('体验问卷大表'!B130),'体验问卷大表'!B130,"")</x:f>
        <x:v>10.857142857142858</x:v>
      </x:c>
      <x:c r="K125" s="241" t="str">
        <x:v>n=175</x:v>
      </x:c>
      <x:c r="L125" s="241" t="n">
        <x:f>IF(ISNUMBER('体验问卷大表'!B36),'体验问卷大表'!B36,"")</x:f>
        <x:v>0.016666666666666666</x:v>
      </x:c>
      <x:c r="M125" s="241" t="n">
        <x:f>IF(ISNUMBER('体验问卷大表'!B37),'体验问卷大表'!B37,"")</x:f>
        <x:v>0.15555555555555556</x:v>
      </x:c>
      <x:c r="N125" s="241" t="n">
        <x:f>IF(ISNUMBER('体验问卷大表'!B38),'体验问卷大表'!B38,"")</x:f>
        <x:v>0.32222222222222224</x:v>
      </x:c>
      <x:c r="O125" s="241" t="n">
        <x:f>IF(ISNUMBER('体验问卷大表'!B39),'体验问卷大表'!B39,"")</x:f>
        <x:v>0.4222222222222222</x:v>
      </x:c>
      <x:c r="P125" s="241" t="n">
        <x:f>IF(ISNUMBER('体验问卷大表'!B40),'体验问卷大表'!B40,"")</x:f>
        <x:v>0.08333333333333333</x:v>
      </x:c>
    </x:row>
    <x:row r="126" ht="22" customHeight="1">
      <x:c r="A126" s="241" t="str">
        <x:v>参与平台::1</x:v>
      </x:c>
      <x:c r="B126" s="241" t="str">
        <x:v>移动端 (A)</x:v>
      </x:c>
      <x:c r="C126" s="241" t="n">
        <x:v>101</x:v>
      </x:c>
      <x:c r="D126" s="241" t="n">
        <x:f>IF(ISNUMBER('体验问卷大表'!G34),'体验问卷大表'!G34,"")</x:f>
        <x:v>0.45544554455445546</x:v>
      </x:c>
      <x:c r="E126" s="241" t="str">
        <x:v>n=101</x:v>
      </x:c>
      <x:c r="F126" s="241" t="n">
        <x:f>IF(ISNUMBER('体验问卷大表'!G50),'体验问卷大表'!G50,"")</x:f>
        <x:v>0.4897959183673469</x:v>
      </x:c>
      <x:c r="G126" s="241" t="str">
        <x:v>n=98；B</x:v>
      </x:c>
      <x:c r="H126" s="241" t="n">
        <x:f>IF(ISNUMBER('体验问卷大表'!G66),'体验问卷大表'!G66,"")</x:f>
        <x:v>0.3564356435643564</x:v>
      </x:c>
      <x:c r="I126" s="241" t="str">
        <x:v>n=101</x:v>
      </x:c>
      <x:c r="J126" s="241" t="n">
        <x:f>IF(ISNUMBER('体验问卷大表'!G130),'体验问卷大表'!G130,"")</x:f>
        <x:v>3</x:v>
      </x:c>
      <x:c r="K126" s="241" t="str">
        <x:v>n=100</x:v>
      </x:c>
      <x:c r="L126" s="241" t="n">
        <x:f>IF(ISNUMBER('体验问卷大表'!G36),'体验问卷大表'!G36,"")</x:f>
        <x:v>0.019801980198019802</x:v>
      </x:c>
      <x:c r="M126" s="241" t="n">
        <x:f>IF(ISNUMBER('体验问卷大表'!G37),'体验问卷大表'!G37,"")</x:f>
        <x:v>0.21782178217821782</x:v>
      </x:c>
      <x:c r="N126" s="241" t="n">
        <x:f>IF(ISNUMBER('体验问卷大表'!G38),'体验问卷大表'!G38,"")</x:f>
        <x:v>0.3069306930693069</x:v>
      </x:c>
      <x:c r="O126" s="241" t="n">
        <x:f>IF(ISNUMBER('体验问卷大表'!G39),'体验问卷大表'!G39,"")</x:f>
        <x:v>0.38613861386138615</x:v>
      </x:c>
      <x:c r="P126" s="241" t="n">
        <x:f>IF(ISNUMBER('体验问卷大表'!G40),'体验问卷大表'!G40,"")</x:f>
        <x:v>0.06930693069306931</x:v>
      </x:c>
    </x:row>
    <x:row r="127" ht="22" customHeight="1">
      <x:c r="A127" s="241" t="str">
        <x:v>参与平台::2</x:v>
      </x:c>
      <x:c r="B127" s="241" t="str">
        <x:v>PC/主机 (B)</x:v>
      </x:c>
      <x:c r="C127" s="241" t="n">
        <x:v>79</x:v>
      </x:c>
      <x:c r="D127" s="241" t="n">
        <x:f>IF(ISNUMBER('体验问卷大表'!H34),'体验问卷大表'!H34,"")</x:f>
        <x:v>0.569620253164557</x:v>
      </x:c>
      <x:c r="E127" s="241" t="str">
        <x:v>n=79</x:v>
      </x:c>
      <x:c r="F127" s="241" t="n">
        <x:f>IF(ISNUMBER('体验问卷大表'!H50),'体验问卷大表'!H50,"")</x:f>
        <x:v>0.35526315789473684</x:v>
      </x:c>
      <x:c r="G127" s="241" t="str">
        <x:v>n=76</x:v>
      </x:c>
      <x:c r="H127" s="241" t="n">
        <x:f>IF(ISNUMBER('体验问卷大表'!H66),'体验问卷大表'!H66,"")</x:f>
        <x:v>0.27848101265822783</x:v>
      </x:c>
      <x:c r="I127" s="241" t="str">
        <x:v>n=79</x:v>
      </x:c>
      <x:c r="J127" s="241" t="n">
        <x:f>IF(ISNUMBER('体验问卷大表'!H130),'体验问卷大表'!H130,"")</x:f>
        <x:v>21.333333333333336</x:v>
      </x:c>
      <x:c r="K127" s="241" t="str">
        <x:v>n=75</x:v>
      </x:c>
      <x:c r="L127" s="241" t="n">
        <x:f>IF(ISNUMBER('体验问卷大表'!H36),'体验问卷大表'!H36,"")</x:f>
        <x:v>0.012658227848101266</x:v>
      </x:c>
      <x:c r="M127" s="241" t="n">
        <x:f>IF(ISNUMBER('体验问卷大表'!H37),'体验问卷大表'!H37,"")</x:f>
        <x:v>0.0759493670886076</x:v>
      </x:c>
      <x:c r="N127" s="241" t="n">
        <x:f>IF(ISNUMBER('体验问卷大表'!H38),'体验问卷大表'!H38,"")</x:f>
        <x:v>0.34177215189873417</x:v>
      </x:c>
      <x:c r="O127" s="241" t="n">
        <x:f>IF(ISNUMBER('体验问卷大表'!H39),'体验问卷大表'!H39,"")</x:f>
        <x:v>0.46835443037974683</x:v>
      </x:c>
      <x:c r="P127" s="241" t="n">
        <x:f>IF(ISNUMBER('体验问卷大表'!H40),'体验问卷大表'!H40,"")</x:f>
        <x:v>0.10126582278481013</x:v>
      </x:c>
    </x:row>
    <x:row r="128" ht="22" customHeight="1">
      <x:c r="A128" s="241" t="str">
        <x:v>参与平台::3</x:v>
      </x:c>
      <x:c r="B128" s="241" t="str"/>
      <x:c r="C128" s="241" t="str"/>
      <x:c r="D128" s="241"/>
      <x:c r="E128" s="241"/>
      <x:c r="F128" s="241"/>
      <x:c r="G128" s="241"/>
      <x:c r="H128" s="241"/>
      <x:c r="I128" s="241"/>
      <x:c r="J128" s="241"/>
      <x:c r="K128" s="241"/>
      <x:c r="L128" s="241"/>
      <x:c r="M128" s="241"/>
      <x:c r="N128" s="241"/>
      <x:c r="O128" s="241"/>
      <x:c r="P128" s="241"/>
    </x:row>
    <x:row r="129" ht="22" customHeight="1">
      <x:c r="A129" s="241" t="str">
        <x:v>参与平台::4</x:v>
      </x:c>
      <x:c r="B129" s="241" t="str"/>
      <x:c r="C129" s="241" t="str"/>
      <x:c r="D129" s="241"/>
      <x:c r="E129" s="241"/>
      <x:c r="F129" s="241"/>
      <x:c r="G129" s="241"/>
      <x:c r="H129" s="241"/>
      <x:c r="I129" s="241"/>
      <x:c r="J129" s="241"/>
      <x:c r="K129" s="241"/>
      <x:c r="L129" s="241"/>
      <x:c r="M129" s="241"/>
      <x:c r="N129" s="241"/>
      <x:c r="O129" s="241"/>
      <x:c r="P129" s="241"/>
    </x:row>
    <x:row r="130" ht="22" customHeight="1">
      <x:c r="A130" s="241" t="str">
        <x:v>满意度分层::0</x:v>
      </x:c>
      <x:c r="B130" s="241" t="str">
        <x:v>Total</x:v>
      </x:c>
      <x:c r="C130" s="241" t="n">
        <x:v>180</x:v>
      </x:c>
      <x:c r="D130" s="241" t="n">
        <x:f>IF(ISNUMBER('体验问卷大表'!B34),'体验问卷大表'!B34,"")</x:f>
        <x:v>0.5055555555555555</x:v>
      </x:c>
      <x:c r="E130" s="241" t="str">
        <x:v>n=180</x:v>
      </x:c>
      <x:c r="F130" s="241" t="n">
        <x:f>IF(ISNUMBER('体验问卷大表'!B50),'体验问卷大表'!B50,"")</x:f>
        <x:v>0.43103448275862066</x:v>
      </x:c>
      <x:c r="G130" s="241" t="str">
        <x:v>n=174</x:v>
      </x:c>
      <x:c r="H130" s="241" t="n">
        <x:f>IF(ISNUMBER('体验问卷大表'!B66),'体验问卷大表'!B66,"")</x:f>
        <x:v>0.32222222222222224</x:v>
      </x:c>
      <x:c r="I130" s="241" t="str">
        <x:v>n=180</x:v>
      </x:c>
      <x:c r="J130" s="241" t="n">
        <x:f>IF(ISNUMBER('体验问卷大表'!B130),'体验问卷大表'!B130,"")</x:f>
        <x:v>10.857142857142858</x:v>
      </x:c>
      <x:c r="K130" s="241" t="str">
        <x:v>n=175</x:v>
      </x:c>
      <x:c r="L130" s="241" t="n">
        <x:f>IF(ISNUMBER('体验问卷大表'!B36),'体验问卷大表'!B36,"")</x:f>
        <x:v>0.016666666666666666</x:v>
      </x:c>
      <x:c r="M130" s="241" t="n">
        <x:f>IF(ISNUMBER('体验问卷大表'!B37),'体验问卷大表'!B37,"")</x:f>
        <x:v>0.15555555555555556</x:v>
      </x:c>
      <x:c r="N130" s="241" t="n">
        <x:f>IF(ISNUMBER('体验问卷大表'!B38),'体验问卷大表'!B38,"")</x:f>
        <x:v>0.32222222222222224</x:v>
      </x:c>
      <x:c r="O130" s="241" t="n">
        <x:f>IF(ISNUMBER('体验问卷大表'!B39),'体验问卷大表'!B39,"")</x:f>
        <x:v>0.4222222222222222</x:v>
      </x:c>
      <x:c r="P130" s="241" t="n">
        <x:f>IF(ISNUMBER('体验问卷大表'!B40),'体验问卷大表'!B40,"")</x:f>
        <x:v>0.08333333333333333</x:v>
      </x:c>
    </x:row>
    <x:row r="131" ht="22" customHeight="1">
      <x:c r="A131" s="241" t="str">
        <x:v>满意度分层::1</x:v>
      </x:c>
      <x:c r="B131" s="241" t="str">
        <x:v>高满意（4–5分） (A)</x:v>
      </x:c>
      <x:c r="C131" s="241" t="n">
        <x:v>91</x:v>
      </x:c>
      <x:c r="D131" s="241" t="n">
        <x:f>IF(ISNUMBER('体验问卷大表'!I34),'体验问卷大表'!I34,"")</x:f>
        <x:v>1</x:v>
      </x:c>
      <x:c r="E131" s="241" t="str">
        <x:v>n=91；B ‡</x:v>
      </x:c>
      <x:c r="F131" s="241" t="n">
        <x:f>IF(ISNUMBER('体验问卷大表'!I50),'体验问卷大表'!I50,"")</x:f>
        <x:v>0.4318181818181818</x:v>
      </x:c>
      <x:c r="G131" s="241" t="str">
        <x:v>n=88</x:v>
      </x:c>
      <x:c r="H131" s="241" t="n">
        <x:f>IF(ISNUMBER('体验问卷大表'!I66),'体验问卷大表'!I66,"")</x:f>
        <x:v>0.4725274725274725</x:v>
      </x:c>
      <x:c r="I131" s="241" t="str">
        <x:v>n=91；B</x:v>
      </x:c>
      <x:c r="J131" s="241" t="n">
        <x:f>IF(ISNUMBER('体验问卷大表'!I130),'体验问卷大表'!I130,"")</x:f>
        <x:v>61.79775280898876</x:v>
      </x:c>
      <x:c r="K131" s="241" t="str">
        <x:v>n=89；B</x:v>
      </x:c>
      <x:c r="L131" s="241" t="n">
        <x:f>IF(ISNUMBER('体验问卷大表'!I36),'体验问卷大表'!I36,"")</x:f>
        <x:v>0</x:v>
      </x:c>
      <x:c r="M131" s="241" t="n">
        <x:f>IF(ISNUMBER('体验问卷大表'!I37),'体验问卷大表'!I37,"")</x:f>
        <x:v>0</x:v>
      </x:c>
      <x:c r="N131" s="241" t="n">
        <x:f>IF(ISNUMBER('体验问卷大表'!I38),'体验问卷大表'!I38,"")</x:f>
        <x:v>0</x:v>
      </x:c>
      <x:c r="O131" s="241" t="n">
        <x:f>IF(ISNUMBER('体验问卷大表'!I39),'体验问卷大表'!I39,"")</x:f>
        <x:v>0.8351648351648352</x:v>
      </x:c>
      <x:c r="P131" s="241" t="n">
        <x:f>IF(ISNUMBER('体验问卷大表'!I40),'体验问卷大表'!I40,"")</x:f>
        <x:v>0.16483516483516483</x:v>
      </x:c>
    </x:row>
    <x:row r="132" ht="22" customHeight="1">
      <x:c r="A132" s="241" t="str">
        <x:v>满意度分层::2</x:v>
      </x:c>
      <x:c r="B132" s="241" t="str">
        <x:v>非高满意（1–3分） (B)</x:v>
      </x:c>
      <x:c r="C132" s="241" t="n">
        <x:v>89</x:v>
      </x:c>
      <x:c r="D132" s="241" t="n">
        <x:f>IF(ISNUMBER('体验问卷大表'!J34),'体验问卷大表'!J34,"")</x:f>
        <x:v>0</x:v>
      </x:c>
      <x:c r="E132" s="241" t="str">
        <x:v>n=89 ‡</x:v>
      </x:c>
      <x:c r="F132" s="241" t="n">
        <x:f>IF(ISNUMBER('体验问卷大表'!J50),'体验问卷大表'!J50,"")</x:f>
        <x:v>0.43023255813953487</x:v>
      </x:c>
      <x:c r="G132" s="241" t="str">
        <x:v>n=86</x:v>
      </x:c>
      <x:c r="H132" s="241" t="n">
        <x:f>IF(ISNUMBER('体验问卷大表'!J66),'体验问卷大表'!J66,"")</x:f>
        <x:v>0.16853932584269662</x:v>
      </x:c>
      <x:c r="I132" s="241" t="str">
        <x:v>n=89</x:v>
      </x:c>
      <x:c r="J132" s="241" t="n">
        <x:f>IF(ISNUMBER('体验问卷大表'!J130),'体验问卷大表'!J130,"")</x:f>
        <x:v>-41.86046511627907</x:v>
      </x:c>
      <x:c r="K132" s="241" t="str">
        <x:v>n=86</x:v>
      </x:c>
      <x:c r="L132" s="241" t="n">
        <x:f>IF(ISNUMBER('体验问卷大表'!J36),'体验问卷大表'!J36,"")</x:f>
        <x:v>0.033707865168539325</x:v>
      </x:c>
      <x:c r="M132" s="241" t="n">
        <x:f>IF(ISNUMBER('体验问卷大表'!J37),'体验问卷大表'!J37,"")</x:f>
        <x:v>0.3146067415730337</x:v>
      </x:c>
      <x:c r="N132" s="241" t="n">
        <x:f>IF(ISNUMBER('体验问卷大表'!J38),'体验问卷大表'!J38,"")</x:f>
        <x:v>0.651685393258427</x:v>
      </x:c>
      <x:c r="O132" s="241" t="n">
        <x:f>IF(ISNUMBER('体验问卷大表'!J39),'体验问卷大表'!J39,"")</x:f>
        <x:v>0</x:v>
      </x:c>
      <x:c r="P132" s="241" t="n">
        <x:f>IF(ISNUMBER('体验问卷大表'!J40),'体验问卷大表'!J40,"")</x:f>
        <x:v>0</x:v>
      </x:c>
    </x:row>
    <x:row r="133" ht="22" customHeight="1">
      <x:c r="A133" s="241" t="str">
        <x:v>满意度分层::3</x:v>
      </x:c>
      <x:c r="B133" s="241" t="str"/>
      <x:c r="C133" s="241" t="str"/>
      <x:c r="D133" s="241"/>
      <x:c r="E133" s="241"/>
      <x:c r="F133" s="241"/>
      <x:c r="G133" s="241"/>
      <x:c r="H133" s="241"/>
      <x:c r="I133" s="241"/>
      <x:c r="J133" s="241"/>
      <x:c r="K133" s="241"/>
      <x:c r="L133" s="241"/>
      <x:c r="M133" s="241"/>
      <x:c r="N133" s="241"/>
      <x:c r="O133" s="241"/>
      <x:c r="P133" s="241"/>
    </x:row>
    <x:row r="134" ht="22" customHeight="1">
      <x:c r="A134" s="241" t="str">
        <x:v>满意度分层::4</x:v>
      </x:c>
      <x:c r="B134" s="241" t="str"/>
      <x:c r="C134" s="241" t="str"/>
      <x:c r="D134" s="241"/>
      <x:c r="E134" s="241"/>
      <x:c r="F134" s="241"/>
      <x:c r="G134" s="241"/>
      <x:c r="H134" s="241"/>
      <x:c r="I134" s="241"/>
      <x:c r="J134" s="241"/>
      <x:c r="K134" s="241"/>
      <x:c r="L134" s="241"/>
      <x:c r="M134" s="241"/>
      <x:c r="N134" s="241"/>
      <x:c r="O134" s="241"/>
      <x:c r="P134" s="241"/>
    </x:row>
    <x:row r="135" ht="22" customHeight="1">
      <x:c r="A135" s="241" t="str">
        <x:v>上手表现分层::0</x:v>
      </x:c>
      <x:c r="B135" s="241" t="str">
        <x:v>Total</x:v>
      </x:c>
      <x:c r="C135" s="241" t="n">
        <x:v>180</x:v>
      </x:c>
      <x:c r="D135" s="241" t="n">
        <x:f>IF(ISNUMBER('体验问卷大表'!B34),'体验问卷大表'!B34,"")</x:f>
        <x:v>0.5055555555555555</x:v>
      </x:c>
      <x:c r="E135" s="241" t="str">
        <x:v>n=180</x:v>
      </x:c>
      <x:c r="F135" s="241" t="n">
        <x:f>IF(ISNUMBER('体验问卷大表'!B50),'体验问卷大表'!B50,"")</x:f>
        <x:v>0.43103448275862066</x:v>
      </x:c>
      <x:c r="G135" s="241" t="str">
        <x:v>n=174</x:v>
      </x:c>
      <x:c r="H135" s="241" t="n">
        <x:f>IF(ISNUMBER('体验问卷大表'!B66),'体验问卷大表'!B66,"")</x:f>
        <x:v>0.32222222222222224</x:v>
      </x:c>
      <x:c r="I135" s="241" t="str">
        <x:v>n=180</x:v>
      </x:c>
      <x:c r="J135" s="241" t="n">
        <x:f>IF(ISNUMBER('体验问卷大表'!B130),'体验问卷大表'!B130,"")</x:f>
        <x:v>10.857142857142858</x:v>
      </x:c>
      <x:c r="K135" s="241" t="str">
        <x:v>n=175</x:v>
      </x:c>
      <x:c r="L135" s="241" t="n">
        <x:f>IF(ISNUMBER('体验问卷大表'!B36),'体验问卷大表'!B36,"")</x:f>
        <x:v>0.016666666666666666</x:v>
      </x:c>
      <x:c r="M135" s="241" t="n">
        <x:f>IF(ISNUMBER('体验问卷大表'!B37),'体验问卷大表'!B37,"")</x:f>
        <x:v>0.15555555555555556</x:v>
      </x:c>
      <x:c r="N135" s="241" t="n">
        <x:f>IF(ISNUMBER('体验问卷大表'!B38),'体验问卷大表'!B38,"")</x:f>
        <x:v>0.32222222222222224</x:v>
      </x:c>
      <x:c r="O135" s="241" t="n">
        <x:f>IF(ISNUMBER('体验问卷大表'!B39),'体验问卷大表'!B39,"")</x:f>
        <x:v>0.4222222222222222</x:v>
      </x:c>
      <x:c r="P135" s="241" t="n">
        <x:f>IF(ISNUMBER('体验问卷大表'!B40),'体验问卷大表'!B40,"")</x:f>
        <x:v>0.08333333333333333</x:v>
      </x:c>
    </x:row>
    <x:row r="136" ht="22" customHeight="1">
      <x:c r="A136" s="241" t="str">
        <x:v>上手表现分层::1</x:v>
      </x:c>
      <x:c r="B136" s="241" t="str">
        <x:v>容易上手（4–5分） (A)</x:v>
      </x:c>
      <x:c r="C136" s="241" t="n">
        <x:v>75</x:v>
      </x:c>
      <x:c r="D136" s="241" t="n">
        <x:f>IF(ISNUMBER('体验问卷大表'!K34),'体验问卷大表'!K34,"")</x:f>
        <x:v>0.5066666666666667</x:v>
      </x:c>
      <x:c r="E136" s="241" t="str">
        <x:v>n=75</x:v>
      </x:c>
      <x:c r="F136" s="241" t="n">
        <x:f>IF(ISNUMBER('体验问卷大表'!K50),'体验问卷大表'!K50,"")</x:f>
        <x:v>1</x:v>
      </x:c>
      <x:c r="G136" s="241" t="str">
        <x:v>n=75；B ‡</x:v>
      </x:c>
      <x:c r="H136" s="241" t="n">
        <x:f>IF(ISNUMBER('体验问卷大表'!K66),'体验问卷大表'!K66,"")</x:f>
        <x:v>0.3333333333333333</x:v>
      </x:c>
      <x:c r="I136" s="241" t="str">
        <x:v>n=75</x:v>
      </x:c>
      <x:c r="J136" s="241" t="n">
        <x:f>IF(ISNUMBER('体验问卷大表'!K130),'体验问卷大表'!K130,"")</x:f>
        <x:v>6.8493150684931505</x:v>
      </x:c>
      <x:c r="K136" s="241" t="str">
        <x:v>n=73</x:v>
      </x:c>
      <x:c r="L136" s="241" t="n">
        <x:f>IF(ISNUMBER('体验问卷大表'!K36),'体验问卷大表'!K36,"")</x:f>
        <x:v>0.02666666666666667</x:v>
      </x:c>
      <x:c r="M136" s="241" t="n">
        <x:f>IF(ISNUMBER('体验问卷大表'!K37),'体验问卷大表'!K37,"")</x:f>
        <x:v>0.16</x:v>
      </x:c>
      <x:c r="N136" s="241" t="n">
        <x:f>IF(ISNUMBER('体验问卷大表'!K38),'体验问卷大表'!K38,"")</x:f>
        <x:v>0.30666666666666664</x:v>
      </x:c>
      <x:c r="O136" s="241" t="n">
        <x:f>IF(ISNUMBER('体验问卷大表'!K39),'体验问卷大表'!K39,"")</x:f>
        <x:v>0.44</x:v>
      </x:c>
      <x:c r="P136" s="241" t="n">
        <x:f>IF(ISNUMBER('体验问卷大表'!K40),'体验问卷大表'!K40,"")</x:f>
        <x:v>0.06666666666666667</x:v>
      </x:c>
    </x:row>
    <x:row r="137" ht="22" customHeight="1">
      <x:c r="A137" s="241" t="str">
        <x:v>上手表现分层::2</x:v>
      </x:c>
      <x:c r="B137" s="241" t="str">
        <x:v>非容易上手（1–3分） (B)</x:v>
      </x:c>
      <x:c r="C137" s="241" t="n">
        <x:v>99</x:v>
      </x:c>
      <x:c r="D137" s="241" t="n">
        <x:f>IF(ISNUMBER('体验问卷大表'!L34),'体验问卷大表'!L34,"")</x:f>
        <x:v>0.5050505050505051</x:v>
      </x:c>
      <x:c r="E137" s="241" t="str">
        <x:v>n=99</x:v>
      </x:c>
      <x:c r="F137" s="241" t="n">
        <x:f>IF(ISNUMBER('体验问卷大表'!L50),'体验问卷大表'!L50,"")</x:f>
        <x:v>0</x:v>
      </x:c>
      <x:c r="G137" s="241" t="str">
        <x:v>n=99 ‡</x:v>
      </x:c>
      <x:c r="H137" s="241" t="n">
        <x:f>IF(ISNUMBER('体验问卷大表'!L66),'体验问卷大表'!L66,"")</x:f>
        <x:v>0.31313131313131315</x:v>
      </x:c>
      <x:c r="I137" s="241" t="str">
        <x:v>n=99</x:v>
      </x:c>
      <x:c r="J137" s="241" t="n">
        <x:f>IF(ISNUMBER('体验问卷大表'!L130),'体验问卷大表'!L130,"")</x:f>
        <x:v>12.5</x:v>
      </x:c>
      <x:c r="K137" s="241" t="str">
        <x:v>n=96</x:v>
      </x:c>
      <x:c r="L137" s="241" t="n">
        <x:f>IF(ISNUMBER('体验问卷大表'!L36),'体验问卷大表'!L36,"")</x:f>
        <x:v>0.010101010101010102</x:v>
      </x:c>
      <x:c r="M137" s="241" t="n">
        <x:f>IF(ISNUMBER('体验问卷大表'!L37),'体验问卷大表'!L37,"")</x:f>
        <x:v>0.15151515151515152</x:v>
      </x:c>
      <x:c r="N137" s="241" t="n">
        <x:f>IF(ISNUMBER('体验问卷大表'!L38),'体验问卷大表'!L38,"")</x:f>
        <x:v>0.3333333333333333</x:v>
      </x:c>
      <x:c r="O137" s="241" t="n">
        <x:f>IF(ISNUMBER('体验问卷大表'!L39),'体验问卷大表'!L39,"")</x:f>
        <x:v>0.41414141414141414</x:v>
      </x:c>
      <x:c r="P137" s="241" t="n">
        <x:f>IF(ISNUMBER('体验问卷大表'!L40),'体验问卷大表'!L40,"")</x:f>
        <x:v>0.09090909090909091</x:v>
      </x:c>
    </x:row>
    <x:row r="138" ht="22" customHeight="1">
      <x:c r="A138" s="241" t="str">
        <x:v>上手表现分层::3</x:v>
      </x:c>
      <x:c r="B138" s="241" t="str"/>
      <x:c r="C138" s="241" t="str"/>
      <x:c r="D138" s="241"/>
      <x:c r="E138" s="241"/>
      <x:c r="F138" s="241"/>
      <x:c r="G138" s="241"/>
      <x:c r="H138" s="241"/>
      <x:c r="I138" s="241"/>
      <x:c r="J138" s="241"/>
      <x:c r="K138" s="241"/>
      <x:c r="L138" s="241"/>
      <x:c r="M138" s="241"/>
      <x:c r="N138" s="241"/>
      <x:c r="O138" s="241"/>
      <x:c r="P138" s="241"/>
    </x:row>
    <x:row r="139" ht="22" customHeight="1">
      <x:c r="A139" s="241" t="str">
        <x:v>上手表现分层::4</x:v>
      </x:c>
      <x:c r="B139" s="241" t="str"/>
      <x:c r="C139" s="241" t="str"/>
      <x:c r="D139" s="241"/>
      <x:c r="E139" s="241"/>
      <x:c r="F139" s="241"/>
      <x:c r="G139" s="241"/>
      <x:c r="H139" s="241"/>
      <x:c r="I139" s="241"/>
      <x:c r="J139" s="241"/>
      <x:c r="K139" s="241"/>
      <x:c r="L139" s="241"/>
      <x:c r="M139" s="241"/>
      <x:c r="N139" s="241"/>
      <x:c r="O139" s="241"/>
      <x:c r="P139" s="241"/>
    </x:row>
    <x:row r="140" ht="22" customHeight="1">
      <x:c r="A140" s="241" t="str">
        <x:v>继续游玩分层::0</x:v>
      </x:c>
      <x:c r="B140" s="241" t="str">
        <x:v>Total</x:v>
      </x:c>
      <x:c r="C140" s="241" t="n">
        <x:v>180</x:v>
      </x:c>
      <x:c r="D140" s="241" t="n">
        <x:f>IF(ISNUMBER('体验问卷大表'!B34),'体验问卷大表'!B34,"")</x:f>
        <x:v>0.5055555555555555</x:v>
      </x:c>
      <x:c r="E140" s="241" t="str">
        <x:v>n=180</x:v>
      </x:c>
      <x:c r="F140" s="241" t="n">
        <x:f>IF(ISNUMBER('体验问卷大表'!B50),'体验问卷大表'!B50,"")</x:f>
        <x:v>0.43103448275862066</x:v>
      </x:c>
      <x:c r="G140" s="241" t="str">
        <x:v>n=174</x:v>
      </x:c>
      <x:c r="H140" s="241" t="n">
        <x:f>IF(ISNUMBER('体验问卷大表'!B66),'体验问卷大表'!B66,"")</x:f>
        <x:v>0.32222222222222224</x:v>
      </x:c>
      <x:c r="I140" s="241" t="str">
        <x:v>n=180</x:v>
      </x:c>
      <x:c r="J140" s="241" t="n">
        <x:f>IF(ISNUMBER('体验问卷大表'!B130),'体验问卷大表'!B130,"")</x:f>
        <x:v>10.857142857142858</x:v>
      </x:c>
      <x:c r="K140" s="241" t="str">
        <x:v>n=175</x:v>
      </x:c>
      <x:c r="L140" s="241" t="n">
        <x:f>IF(ISNUMBER('体验问卷大表'!B36),'体验问卷大表'!B36,"")</x:f>
        <x:v>0.016666666666666666</x:v>
      </x:c>
      <x:c r="M140" s="241" t="n">
        <x:f>IF(ISNUMBER('体验问卷大表'!B37),'体验问卷大表'!B37,"")</x:f>
        <x:v>0.15555555555555556</x:v>
      </x:c>
      <x:c r="N140" s="241" t="n">
        <x:f>IF(ISNUMBER('体验问卷大表'!B38),'体验问卷大表'!B38,"")</x:f>
        <x:v>0.32222222222222224</x:v>
      </x:c>
      <x:c r="O140" s="241" t="n">
        <x:f>IF(ISNUMBER('体验问卷大表'!B39),'体验问卷大表'!B39,"")</x:f>
        <x:v>0.4222222222222222</x:v>
      </x:c>
      <x:c r="P140" s="241" t="n">
        <x:f>IF(ISNUMBER('体验问卷大表'!B40),'体验问卷大表'!B40,"")</x:f>
        <x:v>0.08333333333333333</x:v>
      </x:c>
    </x:row>
    <x:row r="141" ht="22" customHeight="1">
      <x:c r="A141" s="241" t="str">
        <x:v>继续游玩分层::1</x:v>
      </x:c>
      <x:c r="B141" s="241" t="str">
        <x:v>高意愿（4–5分） (A)</x:v>
      </x:c>
      <x:c r="C141" s="241" t="n">
        <x:v>58</x:v>
      </x:c>
      <x:c r="D141" s="241" t="n">
        <x:f>IF(ISNUMBER('体验问卷大表'!M34),'体验问卷大表'!M34,"")</x:f>
        <x:v>0.7413793103448276</x:v>
      </x:c>
      <x:c r="E141" s="241" t="str">
        <x:v>n=58；B</x:v>
      </x:c>
      <x:c r="F141" s="241" t="n">
        <x:f>IF(ISNUMBER('体验问卷大表'!M50),'体验问卷大表'!M50,"")</x:f>
        <x:v>0.44642857142857145</x:v>
      </x:c>
      <x:c r="G141" s="241" t="str">
        <x:v>n=56</x:v>
      </x:c>
      <x:c r="H141" s="241" t="n">
        <x:f>IF(ISNUMBER('体验问卷大表'!M66),'体验问卷大表'!M66,"")</x:f>
        <x:v>1</x:v>
      </x:c>
      <x:c r="I141" s="241" t="str">
        <x:v>n=58；B ‡</x:v>
      </x:c>
      <x:c r="J141" s="241" t="n">
        <x:f>IF(ISNUMBER('体验问卷大表'!M130),'体验问卷大表'!M130,"")</x:f>
        <x:v>42.10526315789473</x:v>
      </x:c>
      <x:c r="K141" s="241" t="str">
        <x:v>n=57；B</x:v>
      </x:c>
      <x:c r="L141" s="241" t="n">
        <x:f>IF(ISNUMBER('体验问卷大表'!M36),'体验问卷大表'!M36,"")</x:f>
        <x:v>0</x:v>
      </x:c>
      <x:c r="M141" s="241" t="n">
        <x:f>IF(ISNUMBER('体验问卷大表'!M37),'体验问卷大表'!M37,"")</x:f>
        <x:v>0.06896551724137931</x:v>
      </x:c>
      <x:c r="N141" s="241" t="n">
        <x:f>IF(ISNUMBER('体验问卷大表'!M38),'体验问卷大表'!M38,"")</x:f>
        <x:v>0.1896551724137931</x:v>
      </x:c>
      <x:c r="O141" s="241" t="n">
        <x:f>IF(ISNUMBER('体验问卷大表'!M39),'体验问卷大表'!M39,"")</x:f>
        <x:v>0.5517241379310345</x:v>
      </x:c>
      <x:c r="P141" s="241" t="n">
        <x:f>IF(ISNUMBER('体验问卷大表'!M40),'体验问卷大表'!M40,"")</x:f>
        <x:v>0.1896551724137931</x:v>
      </x:c>
    </x:row>
    <x:row r="142" ht="22" customHeight="1">
      <x:c r="A142" s="241" t="str">
        <x:v>继续游玩分层::2</x:v>
      </x:c>
      <x:c r="B142" s="241" t="str">
        <x:v>非高意愿（1–3分） (B)</x:v>
      </x:c>
      <x:c r="C142" s="241" t="n">
        <x:v>122</x:v>
      </x:c>
      <x:c r="D142" s="241" t="n">
        <x:f>IF(ISNUMBER('体验问卷大表'!N34),'体验问卷大表'!N34,"")</x:f>
        <x:v>0.39344262295081966</x:v>
      </x:c>
      <x:c r="E142" s="241" t="str">
        <x:v>n=122</x:v>
      </x:c>
      <x:c r="F142" s="241" t="n">
        <x:f>IF(ISNUMBER('体验问卷大表'!N50),'体验问卷大表'!N50,"")</x:f>
        <x:v>0.423728813559322</x:v>
      </x:c>
      <x:c r="G142" s="241" t="str">
        <x:v>n=118</x:v>
      </x:c>
      <x:c r="H142" s="241" t="n">
        <x:f>IF(ISNUMBER('体验问卷大表'!N66),'体验问卷大表'!N66,"")</x:f>
        <x:v>0</x:v>
      </x:c>
      <x:c r="I142" s="241" t="str">
        <x:v>n=122 ‡</x:v>
      </x:c>
      <x:c r="J142" s="241" t="n">
        <x:f>IF(ISNUMBER('体验问卷大表'!N130),'体验问卷大表'!N130,"")</x:f>
        <x:v>-4.23728813559322</x:v>
      </x:c>
      <x:c r="K142" s="241" t="str">
        <x:v>n=118</x:v>
      </x:c>
      <x:c r="L142" s="241" t="n">
        <x:f>IF(ISNUMBER('体验问卷大表'!N36),'体验问卷大表'!N36,"")</x:f>
        <x:v>0.02459016393442623</x:v>
      </x:c>
      <x:c r="M142" s="241" t="n">
        <x:f>IF(ISNUMBER('体验问卷大表'!N37),'体验问卷大表'!N37,"")</x:f>
        <x:v>0.19672131147540983</x:v>
      </x:c>
      <x:c r="N142" s="241" t="n">
        <x:f>IF(ISNUMBER('体验问卷大表'!N38),'体验问卷大表'!N38,"")</x:f>
        <x:v>0.38524590163934425</x:v>
      </x:c>
      <x:c r="O142" s="241" t="n">
        <x:f>IF(ISNUMBER('体验问卷大表'!N39),'体验问卷大表'!N39,"")</x:f>
        <x:v>0.36065573770491804</x:v>
      </x:c>
      <x:c r="P142" s="241" t="n">
        <x:f>IF(ISNUMBER('体验问卷大表'!N40),'体验问卷大表'!N40,"")</x:f>
        <x:v>0.03278688524590164</x:v>
      </x:c>
    </x:row>
    <x:row r="143" ht="22" customHeight="1">
      <x:c r="A143" s="241" t="str">
        <x:v>继续游玩分层::3</x:v>
      </x:c>
      <x:c r="B143" s="241" t="str"/>
      <x:c r="C143" s="241" t="str"/>
      <x:c r="D143" s="241"/>
      <x:c r="E143" s="241"/>
      <x:c r="F143" s="241"/>
      <x:c r="G143" s="241"/>
      <x:c r="H143" s="241"/>
      <x:c r="I143" s="241"/>
      <x:c r="J143" s="241"/>
      <x:c r="K143" s="241"/>
      <x:c r="L143" s="241"/>
      <x:c r="M143" s="241"/>
      <x:c r="N143" s="241"/>
      <x:c r="O143" s="241"/>
      <x:c r="P143" s="241"/>
    </x:row>
    <x:row r="144" ht="22" customHeight="1">
      <x:c r="A144" s="241" t="str">
        <x:v>继续游玩分层::4</x:v>
      </x:c>
      <x:c r="B144" s="241" t="str"/>
      <x:c r="C144" s="241" t="str"/>
      <x:c r="D144" s="241"/>
      <x:c r="E144" s="241"/>
      <x:c r="F144" s="241"/>
      <x:c r="G144" s="241"/>
      <x:c r="H144" s="241"/>
      <x:c r="I144" s="241"/>
      <x:c r="J144" s="241"/>
      <x:c r="K144" s="241"/>
      <x:c r="L144" s="241"/>
      <x:c r="M144" s="241"/>
      <x:c r="N144" s="241"/>
      <x:c r="O144" s="241"/>
      <x:c r="P144" s="241"/>
    </x:row>
    <x:row r="145" ht="22" customHeight="1">
      <x:c r="A145" s="241" t="str">
        <x:v>推荐意愿分层::0</x:v>
      </x:c>
      <x:c r="B145" s="241" t="str">
        <x:v>Total</x:v>
      </x:c>
      <x:c r="C145" s="241" t="n">
        <x:v>180</x:v>
      </x:c>
      <x:c r="D145" s="241" t="n">
        <x:f>IF(ISNUMBER('体验问卷大表'!B34),'体验问卷大表'!B34,"")</x:f>
        <x:v>0.5055555555555555</x:v>
      </x:c>
      <x:c r="E145" s="241" t="str">
        <x:v>n=180</x:v>
      </x:c>
      <x:c r="F145" s="241" t="n">
        <x:f>IF(ISNUMBER('体验问卷大表'!B50),'体验问卷大表'!B50,"")</x:f>
        <x:v>0.43103448275862066</x:v>
      </x:c>
      <x:c r="G145" s="241" t="str">
        <x:v>n=174</x:v>
      </x:c>
      <x:c r="H145" s="241" t="n">
        <x:f>IF(ISNUMBER('体验问卷大表'!B66),'体验问卷大表'!B66,"")</x:f>
        <x:v>0.32222222222222224</x:v>
      </x:c>
      <x:c r="I145" s="241" t="str">
        <x:v>n=180</x:v>
      </x:c>
      <x:c r="J145" s="241" t="n">
        <x:f>IF(ISNUMBER('体验问卷大表'!B130),'体验问卷大表'!B130,"")</x:f>
        <x:v>10.857142857142858</x:v>
      </x:c>
      <x:c r="K145" s="241" t="str">
        <x:v>n=175</x:v>
      </x:c>
      <x:c r="L145" s="241" t="n">
        <x:f>IF(ISNUMBER('体验问卷大表'!B36),'体验问卷大表'!B36,"")</x:f>
        <x:v>0.016666666666666666</x:v>
      </x:c>
      <x:c r="M145" s="241" t="n">
        <x:f>IF(ISNUMBER('体验问卷大表'!B37),'体验问卷大表'!B37,"")</x:f>
        <x:v>0.15555555555555556</x:v>
      </x:c>
      <x:c r="N145" s="241" t="n">
        <x:f>IF(ISNUMBER('体验问卷大表'!B38),'体验问卷大表'!B38,"")</x:f>
        <x:v>0.32222222222222224</x:v>
      </x:c>
      <x:c r="O145" s="241" t="n">
        <x:f>IF(ISNUMBER('体验问卷大表'!B39),'体验问卷大表'!B39,"")</x:f>
        <x:v>0.4222222222222222</x:v>
      </x:c>
      <x:c r="P145" s="241" t="n">
        <x:f>IF(ISNUMBER('体验问卷大表'!B40),'体验问卷大表'!B40,"")</x:f>
        <x:v>0.08333333333333333</x:v>
      </x:c>
    </x:row>
    <x:row r="146" ht="22" customHeight="1">
      <x:c r="A146" s="241" t="str">
        <x:v>推荐意愿分层::1</x:v>
      </x:c>
      <x:c r="B146" s="241" t="str">
        <x:v>推荐者（9–10分） (A)</x:v>
      </x:c>
      <x:c r="C146" s="241" t="n">
        <x:v>61</x:v>
      </x:c>
      <x:c r="D146" s="241" t="n">
        <x:f>IF(ISNUMBER('体验问卷大表'!O34),'体验问卷大表'!O34,"")</x:f>
        <x:v>0.9016393442622951</x:v>
      </x:c>
      <x:c r="E146" s="241" t="str">
        <x:v>n=61；B</x:v>
      </x:c>
      <x:c r="F146" s="241" t="n">
        <x:f>IF(ISNUMBER('体验问卷大表'!O50),'体验问卷大表'!O50,"")</x:f>
        <x:v>0.4482758620689655</x:v>
      </x:c>
      <x:c r="G146" s="241" t="str">
        <x:v>n=58</x:v>
      </x:c>
      <x:c r="H146" s="241" t="n">
        <x:f>IF(ISNUMBER('体验问卷大表'!O66),'体验问卷大表'!O66,"")</x:f>
        <x:v>0.5409836065573771</x:v>
      </x:c>
      <x:c r="I146" s="241" t="str">
        <x:v>n=61；B</x:v>
      </x:c>
      <x:c r="J146" s="241" t="n">
        <x:f>IF(ISNUMBER('体验问卷大表'!O130),'体验问卷大表'!O130,"")</x:f>
        <x:v>100</x:v>
      </x:c>
      <x:c r="K146" s="241" t="str">
        <x:v>n=61；B ‡</x:v>
      </x:c>
      <x:c r="L146" s="241" t="n">
        <x:f>IF(ISNUMBER('体验问卷大表'!O36),'体验问卷大表'!O36,"")</x:f>
        <x:v>0</x:v>
      </x:c>
      <x:c r="M146" s="241" t="n">
        <x:f>IF(ISNUMBER('体验问卷大表'!O37),'体验问卷大表'!O37,"")</x:f>
        <x:v>0</x:v>
      </x:c>
      <x:c r="N146" s="241" t="n">
        <x:f>IF(ISNUMBER('体验问卷大表'!O38),'体验问卷大表'!O38,"")</x:f>
        <x:v>0.09836065573770492</x:v>
      </x:c>
      <x:c r="O146" s="241" t="n">
        <x:f>IF(ISNUMBER('体验问卷大表'!O39),'体验问卷大表'!O39,"")</x:f>
        <x:v>0.7049180327868853</x:v>
      </x:c>
      <x:c r="P146" s="241" t="n">
        <x:f>IF(ISNUMBER('体验问卷大表'!O40),'体验问卷大表'!O40,"")</x:f>
        <x:v>0.19672131147540983</x:v>
      </x:c>
    </x:row>
    <x:row r="147" ht="22" customHeight="1">
      <x:c r="A147" s="241" t="str">
        <x:v>推荐意愿分层::2</x:v>
      </x:c>
      <x:c r="B147" s="241" t="str">
        <x:v>非推荐者（0–8分） (B)</x:v>
      </x:c>
      <x:c r="C147" s="241" t="n">
        <x:v>114</x:v>
      </x:c>
      <x:c r="D147" s="241" t="n">
        <x:f>IF(ISNUMBER('体验问卷大表'!P34),'体验问卷大表'!P34,"")</x:f>
        <x:v>0.2982456140350877</x:v>
      </x:c>
      <x:c r="E147" s="241" t="str">
        <x:v>n=114</x:v>
      </x:c>
      <x:c r="F147" s="241" t="n">
        <x:f>IF(ISNUMBER('体验问卷大表'!P50),'体验问卷大表'!P50,"")</x:f>
        <x:v>0.42342342342342343</x:v>
      </x:c>
      <x:c r="G147" s="241" t="str">
        <x:v>n=111</x:v>
      </x:c>
      <x:c r="H147" s="241" t="n">
        <x:f>IF(ISNUMBER('体验问卷大表'!P66),'体验问卷大表'!P66,"")</x:f>
        <x:v>0.21052631578947367</x:v>
      </x:c>
      <x:c r="I147" s="241" t="str">
        <x:v>n=114</x:v>
      </x:c>
      <x:c r="J147" s="241" t="n">
        <x:f>IF(ISNUMBER('体验问卷大表'!P130),'体验问卷大表'!P130,"")</x:f>
        <x:v>-36.84210526315789</x:v>
      </x:c>
      <x:c r="K147" s="241" t="str">
        <x:v>n=114 ‡</x:v>
      </x:c>
      <x:c r="L147" s="241" t="n">
        <x:f>IF(ISNUMBER('体验问卷大表'!P36),'体验问卷大表'!P36,"")</x:f>
        <x:v>0.02631578947368421</x:v>
      </x:c>
      <x:c r="M147" s="241" t="n">
        <x:f>IF(ISNUMBER('体验问卷大表'!P37),'体验问卷大表'!P37,"")</x:f>
        <x:v>0.24561403508771928</x:v>
      </x:c>
      <x:c r="N147" s="241" t="n">
        <x:f>IF(ISNUMBER('体验问卷大表'!P38),'体验问卷大表'!P38,"")</x:f>
        <x:v>0.4298245614035088</x:v>
      </x:c>
      <x:c r="O147" s="241" t="n">
        <x:f>IF(ISNUMBER('体验问卷大表'!P39),'体验问卷大表'!P39,"")</x:f>
        <x:v>0.2719298245614035</x:v>
      </x:c>
      <x:c r="P147" s="241" t="n">
        <x:f>IF(ISNUMBER('体验问卷大表'!P40),'体验问卷大表'!P40,"")</x:f>
        <x:v>0.02631578947368421</x:v>
      </x:c>
    </x:row>
    <x:row r="148" ht="22" customHeight="1">
      <x:c r="A148" s="241" t="str">
        <x:v>推荐意愿分层::3</x:v>
      </x:c>
      <x:c r="B148" s="241" t="str"/>
      <x:c r="C148" s="241" t="str"/>
      <x:c r="D148" s="241"/>
      <x:c r="E148" s="241"/>
      <x:c r="F148" s="241"/>
      <x:c r="G148" s="241"/>
      <x:c r="H148" s="241"/>
      <x:c r="I148" s="241"/>
      <x:c r="J148" s="241"/>
      <x:c r="K148" s="241"/>
      <x:c r="L148" s="241"/>
      <x:c r="M148" s="241"/>
      <x:c r="N148" s="241"/>
      <x:c r="O148" s="241"/>
      <x:c r="P148" s="241"/>
    </x:row>
    <x:row r="149" ht="22" customHeight="1">
      <x:c r="A149" s="241" t="str">
        <x:v>推荐意愿分层::4</x:v>
      </x:c>
      <x:c r="B149" s="241" t="str"/>
      <x:c r="C149" s="241" t="str"/>
      <x:c r="D149" s="241"/>
      <x:c r="E149" s="241"/>
      <x:c r="F149" s="241"/>
      <x:c r="G149" s="241"/>
      <x:c r="H149" s="241"/>
      <x:c r="I149" s="241"/>
      <x:c r="J149" s="241"/>
      <x:c r="K149" s="241"/>
      <x:c r="L149" s="241"/>
      <x:c r="M149" s="241"/>
      <x:c r="N149" s="241"/>
      <x:c r="O149" s="241"/>
      <x:c r="P149" s="241"/>
    </x:row>
  </x:sheetData>
  <x:mergeCells>
    <x:mergeCell ref="A1:K1"/>
    <x:mergeCell ref="C3:K3"/>
    <x:mergeCell ref="A5:K5"/>
  </x:mergeCells>
  <x:conditionalFormatting sqref="B8:B12">
    <x:cfRule type="colorScale" priority="1">
      <x:colorScale>
        <x:cfvo type="num" val="0"/>
        <x:cfvo type="num" val="0.5"/>
        <x:cfvo type="num" val="1"/>
        <x:color rgb="FFFFFFFF"/>
        <x:color rgb="FFBDD7E7"/>
        <x:color rgb="FF4C86AA"/>
      </x:colorScale>
    </x:cfRule>
  </x:conditionalFormatting>
  <x:conditionalFormatting sqref="D8:D12">
    <x:cfRule type="colorScale" priority="2">
      <x:colorScale>
        <x:cfvo type="num" val="0"/>
        <x:cfvo type="num" val="0.5"/>
        <x:cfvo type="num" val="1"/>
        <x:color rgb="FFFFFFFF"/>
        <x:color rgb="FFBDD7E7"/>
        <x:color rgb="FF4C86AA"/>
      </x:colorScale>
    </x:cfRule>
  </x:conditionalFormatting>
  <x:conditionalFormatting sqref="F8:F12">
    <x:cfRule type="colorScale" priority="3">
      <x:colorScale>
        <x:cfvo type="num" val="0"/>
        <x:cfvo type="num" val="0.5"/>
        <x:cfvo type="num" val="1"/>
        <x:color rgb="FFFFFFFF"/>
        <x:color rgb="FFBDD7E7"/>
        <x:color rgb="FF4C86AA"/>
      </x:colorScale>
    </x:cfRule>
  </x:conditionalFormatting>
  <x:conditionalFormatting sqref="H8:H12">
    <x:cfRule type="colorScale" priority="4">
      <x:colorScale>
        <x:cfvo type="num" val="-100"/>
        <x:cfvo type="num" val="0"/>
        <x:cfvo type="num" val="100"/>
        <x:color rgb="FFFFFFFF"/>
        <x:color rgb="FFBDD7E7"/>
        <x:color rgb="FF4C86AA"/>
      </x:colorScale>
    </x:cfRule>
  </x:conditionalFormatting>
  <x:dataValidations count="1">
    <x:dataValidation type="list" sqref="B3">
      <x:formula1>"玩家经验互斥,参与平台,满意度分层,上手表现分层,继续游玩分层,推荐意愿分层"</x:formula1>
    </x:dataValidation>
  </x:dataValidations>
  <x:pageMargins left="0.7" right="0.7" top="0.75" bottom="0.75" header="0.3" footer="0.3"/>
  <x:drawing xmlns:r="http://schemas.openxmlformats.org/officeDocument/2006/relationships" r:id="R268ca308c69a43ee"/>
</x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65" hidden="0" customWidth="1"/>
    <ns0:col min="2" max="2" width="65" hidden="0" customWidth="1"/>
    <ns0:col min="3" max="3" width="18" hidden="0" customWidth="1"/>
    <ns0:col min="4" max="4" width="18" hidden="0" customWidth="1"/>
  </ns0:cols>
  <ns0:sheetData>
    <ns0:row r="1" ht="26" customHeight="1">
      <ns0:c r="A1" s="235" t="str">
        <ns0:v>体验问卷大表</ns0:v>
      </ns0:c>
      <ns0:c r="B1" s="235" t="str">
        <ns0:v>体验问卷显著性检验</ns0:v>
      </ns0:c>
      <ns0:c r="C1" s="235" t="str">
        <ns0:v>题型</ns0:v>
      </ns0:c>
      <ns0:c r="D1" s="235" t="str">
        <ns0:v>指标分类</ns0:v>
      </ns0:c>
    </ns0:row>
    <ns0:row r="2" ht="32" customHeight="1">
      <ns0:c r="A2" s="237" t="str">
        <ns0:v>[Q1].本次测试主要使用的平台是？</ns0:v>
      </ns0:c>
      <ns0:c r="B2" s="237" t="str">
        <ns0:v>[Q1].本次测试主要使用的平台是？</ns0:v>
      </ns0:c>
      <ns0:c r="C2" s="236" t="str">
        <ns0:v>单选</ns0:v>
      </ns0:c>
      <ns0:c r="D2" s="236" t="str">
        <ns0:v>玩家平台</ns0:v>
      </ns0:c>
    </ns0:row>
    <ns0:row r="3" ht="32" customHeight="1">
      <ns0:c r="A3" s="237" t="str">
        <ns0:v>[Q2].以下哪类游戏经验最符合你？</ns0:v>
      </ns0:c>
      <ns0:c r="B3" s="237" t="str">
        <ns0:v>[Q2].以下哪类游戏经验最符合你？</ns0:v>
      </ns0:c>
      <ns0:c r="C3" s="236" t="str">
        <ns0:v>单选</ns0:v>
      </ns0:c>
      <ns0:c r="D3" s="236" t="str">
        <ns0:v>玩家经验</ns0:v>
      </ns0:c>
    </ns0:row>
    <ns0:row r="4" ht="32" customHeight="1">
      <ns0:c r="A4" s="237" t="str">
        <ns0:v>[Q3].你对本次测试的整体满意度如何？</ns0:v>
      </ns0:c>
      <ns0:c r="B4" s="237" t="str">
        <ns0:v>[Q3].你对本次测试的整体满意度如何？</ns0:v>
      </ns0:c>
      <ns0:c r="C4" s="236" t="str">
        <ns0:v>评分</ns0:v>
      </ns0:c>
      <ns0:c r="D4" s="236" t="str">
        <ns0:v>整体满意度</ns0:v>
      </ns0:c>
    </ns0:row>
    <ns0:row r="5" ht="32" customHeight="1">
      <ns0:c r="A5" s="237" t="str">
        <ns0:v>[Q4].你认为游戏是否容易上手？</ns0:v>
      </ns0:c>
      <ns0:c r="B5" s="237" t="str">
        <ns0:v>[Q4].你认为游戏是否容易上手？</ns0:v>
      </ns0:c>
      <ns0:c r="C5" s="236" t="str">
        <ns0:v>评分</ns0:v>
      </ns0:c>
      <ns0:c r="D5" s="236" t="str">
        <ns0:v>上手表现</ns0:v>
      </ns0:c>
    </ns0:row>
    <ns0:row r="6" ht="32" customHeight="1">
      <ns0:c r="A6" s="237" t="str">
        <ns0:v>[Q5].正式上线后，你继续游玩的意愿如何？</ns0:v>
      </ns0:c>
      <ns0:c r="B6" s="237" t="str">
        <ns0:v>[Q5].正式上线后，你继续游玩的意愿如何？</ns0:v>
      </ns0:c>
      <ns0:c r="C6" s="236" t="str">
        <ns0:v>评分</ns0:v>
      </ns0:c>
      <ns0:c r="D6" s="236" t="str">
        <ns0:v>继续游玩意愿</ns0:v>
      </ns0:c>
    </ns0:row>
    <ns0:row r="7" ht="32" customHeight="1">
      <ns0:c r="A7" s="237" t="str">
        <ns0:v>[Q6].本次体验中，你认为做得较好的部分有哪些？</ns0:v>
      </ns0:c>
      <ns0:c r="B7" s="237" t="str">
        <ns0:v>[Q6].本次体验中，你认为做得较好的部分有哪些？</ns0:v>
      </ns0:c>
      <ns0:c r="C7" s="236" t="str">
        <ns0:v>多选</ns0:v>
      </ns0:c>
      <ns0:c r="D7" s="236" t="str">
        <ns0:v>体验亮点</ns0:v>
      </ns0:c>
    </ns0:row>
    <ns0:row r="8" ht="32" customHeight="1">
      <ns0:c r="A8" s="237" t="str">
        <ns0:v>[Q7].请评价以下体验模块。</ns0:v>
      </ns0:c>
      <ns0:c r="B8" s="237" t="str">
        <ns0:v>[Q7].请评价以下体验模块。</ns0:v>
      </ns0:c>
      <ns0:c r="C8" s="236" t="str">
        <ns0:v>矩阵评分</ns0:v>
      </ns0:c>
      <ns0:c r="D8" s="236" t="str">
        <ns0:v>模块体验</ns0:v>
      </ns0:c>
    </ns0:row>
    <ns0:row r="9" ht="32" customHeight="1">
      <ns0:c r="A9" s="237" t="str">
        <ns0:v>[Q8].你有多大可能向朋友推荐这款游戏？</ns0:v>
      </ns0:c>
      <ns0:c r="B9" s="237" t="str">
        <ns0:v>[Q8].你有多大可能向朋友推荐这款游戏？</ns0:v>
      </ns0:c>
      <ns0:c r="C9" s="236" t="str">
        <ns0:v>NPS</ns0:v>
      </ns0:c>
      <ns0:c r="D9" s="236" t="str">
        <ns0:v>NPS 推荐意愿</ns0:v>
      </ns0:c>
    </ns0:row>
    <ns0:row r="10" ht="32" customHeight="1">
      <ns0:c r="A10" s="237" t="str">
        <ns0:v>[Q9].请选出最希望优先优化的三项并排序。</ns0:v>
      </ns0:c>
      <ns0:c r="B10" s="237" t="str">
        <ns0:v>[Q9].请选出最希望优先优化的三项并排序。</ns0:v>
      </ns0:c>
      <ns0:c r="C10" s="236" t="str">
        <ns0:v>排序</ns0:v>
      </ns0:c>
      <ns0:c r="D10" s="236" t="str">
        <ns0:v>优化优先级</ns0:v>
      </ns0:c>
    </ns0:row>
    <ns0:row r="11" ht="32" customHeight="1">
      <ns0:c r="A11" s="237" t="str">
        <ns0:v>[Q10].你对后续优化还有哪些建议？</ns0:v>
      </ns0:c>
      <ns0:c r="B11" s="237" t="str">
        <ns0:v>[Q10].你对后续优化还有哪些建议？</ns0:v>
      </ns0:c>
      <ns0:c r="C11" s="236" t="str">
        <ns0:v>开放题</ns0:v>
      </ns0:c>
      <ns0:c r="D11" s="236" t="str">
        <ns0:v>开放反馈</ns0:v>
      </ns0:c>
    </ns0:row>
  </ns0:sheetData>
  <ns0:hyperlinks>
    <ns0:hyperlink ref="A2" location="'体验问卷大表'!A10"/>
    <ns0:hyperlink ref="A3" location="'体验问卷大表'!A20"/>
    <ns0:hyperlink ref="A4" location="'体验问卷大表'!A32"/>
    <ns0:hyperlink ref="A5" location="'体验问卷大表'!A48"/>
    <ns0:hyperlink ref="A6" location="'体验问卷大表'!A64"/>
    <ns0:hyperlink ref="A7" location="'体验问卷大表'!A80"/>
    <ns0:hyperlink ref="A8" location="'体验问卷大表'!A95"/>
    <ns0:hyperlink ref="A9" location="'体验问卷大表'!A129"/>
    <ns0:hyperlink ref="A10" location="'体验问卷大表'!A141"/>
    <ns0:hyperlink ref="A11" location="'体验问卷大表'!A159"/>
    <ns0:hyperlink ref="B2" location="'体验问卷显著性检验'!A10"/>
    <ns0:hyperlink ref="B3" location="'体验问卷显著性检验'!A20"/>
    <ns0:hyperlink ref="B4" location="'体验问卷显著性检验'!A32"/>
    <ns0:hyperlink ref="B5" location="'体验问卷显著性检验'!A48"/>
    <ns0:hyperlink ref="B6" location="'体验问卷显著性检验'!A64"/>
    <ns0:hyperlink ref="B7" location="'体验问卷显著性检验'!A80"/>
    <ns0:hyperlink ref="B8" location="'体验问卷显著性检验'!A95"/>
    <ns0:hyperlink ref="B9" location="'体验问卷显著性检验'!A129"/>
    <ns0:hyperlink ref="B10" location="'体验问卷显著性检验'!A141"/>
    <ns0:hyperlink ref="B11" location="'体验问卷显著性检验'!A159"/>
  </ns0:hyperlink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tabColor rgb="FF24415B"/>
  </ns0:sheetPr>
  <ns0:sheetViews>
    <ns0:sheetView showGridLines="0" workbookViewId="0">
      <ns0:pane xSplit="2" ySplit="4" topLeftCell="C5" activePane="bottomRight" state="frozen"/>
    </ns0:sheetView>
  </ns0:sheetViews>
  <ns0:sheetFormatPr defaultRowHeight="15"/>
  <ns0:cols>
    <ns0:col min="1" max="1" width="65" hidden="0" customWidth="1"/>
    <ns0:col min="2" max="2" width="14" hidden="0" customWidth="1"/>
    <ns0:col min="3" max="3" width="15" hidden="0" customWidth="1"/>
    <ns0:col min="4" max="4" width="15" hidden="0" customWidth="1"/>
    <ns0:col min="5" max="5" width="15" hidden="0" customWidth="1"/>
    <ns0:col min="6" max="6" width="15" hidden="0" customWidth="1"/>
    <ns0:col min="7" max="7" width="15" hidden="0" customWidth="1"/>
    <ns0:col min="8" max="8" width="15" hidden="0" customWidth="1"/>
    <ns0:col min="9" max="9" width="15" hidden="0" customWidth="1"/>
    <ns0:col min="10" max="10" width="15" hidden="0" customWidth="1"/>
    <ns0:col min="11" max="11" width="15" hidden="0" customWidth="1"/>
    <ns0:col min="12" max="12" width="15" hidden="0" customWidth="1"/>
    <ns0:col min="13" max="13" width="15" hidden="0" customWidth="1"/>
    <ns0:col min="14" max="14" width="15" hidden="0" customWidth="1"/>
    <ns0:col min="15" max="15" width="15" hidden="0" customWidth="1"/>
    <ns0:col min="16" max="16" width="15" hidden="0" customWidth="1"/>
  </ns0:cols>
  <ns0:sheetData>
    <ns0:row r="1" ht="30" customHeight="1">
      <ns0:c r="A1" s="2" t="str">
        <ns0:v>《星港计划》概念测试体验问卷（合成案例） 频率表</ns0:v>
      </ns0:c>
      <ns0:c r="B1" s="2"/>
      <ns0:c r="C1" s="2"/>
      <ns0:c r="D1" s="2"/>
      <ns0:c r="E1" s="2"/>
      <ns0:c r="F1" s="2"/>
      <ns0:c r="G1" s="2"/>
      <ns0:c r="H1" s="2"/>
      <ns0:c r="I1" s="2"/>
      <ns0:c r="J1" s="2"/>
    </ns0:row>
    <ns0:row r="2" ht="30" customHeight="1">
      <ns0:c r="A2" s="5" t="str">
        <ns0:v>青色/紫色字母：显著高于同族其他列（不代表表现更好）；黄色：低于同族全部可比列。双侧 p &lt; 0.1。† n &lt; 30；‡ 定义性分组；— 无有效样本。</ns0:v>
      </ns0:c>
      <ns0:c r="B2" s="5"/>
      <ns0:c r="C2" s="5"/>
      <ns0:c r="D2" s="5"/>
      <ns0:c r="E2" s="5"/>
      <ns0:c r="F2" s="5"/>
      <ns0:c r="G2" s="5"/>
      <ns0:c r="H2" s="5"/>
      <ns0:c r="I2" s="5"/>
      <ns0:c r="J2" s="5"/>
    </ns0:row>
    <ns0:row r="3" ht="22" customHeight="1">
      <ns0:c r="A3" s="10" t="str">
        <ns0:v>分组族</ns0:v>
      </ns0:c>
      <ns0:c r="B3" s="11" t="str">
        <ns0:v>总体</ns0:v>
      </ns0:c>
      <ns0:c r="C3" s="12" t="str">
        <ns0:v>玩家经验互斥</ns0:v>
      </ns0:c>
      <ns0:c r="D3" s="12"/>
      <ns0:c r="E3" s="12"/>
      <ns0:c r="F3" s="12"/>
      <ns0:c r="G3" s="13" t="str">
        <ns0:v>参与平台</ns0:v>
      </ns0:c>
      <ns0:c r="H3" s="13"/>
      <ns0:c r="I3" s="14" t="str">
        <ns0:v>满意度分层</ns0:v>
      </ns0:c>
      <ns0:c r="J3" s="14"/>
      <ns0:c r="K3" s="14" t="str">
        <ns0:v>上手表现分层</ns0:v>
      </ns0:c>
      <ns0:c r="L3" s="14"/>
      <ns0:c r="M3" s="14" t="str">
        <ns0:v>继续游玩分层</ns0:v>
      </ns0:c>
      <ns0:c r="N3" s="14"/>
      <ns0:c r="O3" s="14" t="str">
        <ns0:v>推荐意愿分层</ns0:v>
      </ns0:c>
      <ns0:c r="P3" s="14"/>
    </ns0:row>
    <ns0:row r="4" ht="44" customHeight="1">
      <ns0:c r="A4" s="10" t="str">
        <ns0:v>选项 / 指标</ns0:v>
      </ns0:c>
      <ns0:c r="B4" s="11" t="str">
        <ns0:v>Total</ns0:v>
      </ns0:c>
      <ns0:c r="C4" s="12" t="str">
        <ns0:v>横版动作核心</ns0:v>
      </ns0:c>
      <ns0:c r="D4" s="12" t="str">
        <ns0:v>二游ARPG</ns0:v>
      </ns0:c>
      <ns0:c r="E4" s="12" t="str">
        <ns0:v>银河恶魔城</ns0:v>
      </ns0:c>
      <ns0:c r="F4" s="12" t="str">
        <ns0:v>泛用户</ns0:v>
      </ns0:c>
      <ns0:c r="G4" s="13" t="str">
        <ns0:v>移动端</ns0:v>
      </ns0:c>
      <ns0:c r="H4" s="13" t="str">
        <ns0:v>PC/主机</ns0:v>
      </ns0:c>
      <ns0:c r="I4" s="14" t="str">
        <ns0:v>高满意（4–5分）</ns0:v>
      </ns0:c>
      <ns0:c r="J4" s="14" t="str">
        <ns0:v>非高满意（1–3分）</ns0:v>
      </ns0:c>
      <ns0:c r="K4" s="14" t="str">
        <ns0:v>容易上手（4–5分）</ns0:v>
      </ns0:c>
      <ns0:c r="L4" s="14" t="str">
        <ns0:v>非容易上手（1–3分）</ns0:v>
      </ns0:c>
      <ns0:c r="M4" s="14" t="str">
        <ns0:v>高意愿（4–5分）</ns0:v>
      </ns0:c>
      <ns0:c r="N4" s="14" t="str">
        <ns0:v>非高意愿（1–3分）</ns0:v>
      </ns0:c>
      <ns0:c r="O4" s="14" t="str">
        <ns0:v>推荐者（9–10分）</ns0:v>
      </ns0:c>
      <ns0:c r="P4" s="14" t="str">
        <ns0:v>非推荐者（0–8分）</ns0:v>
      </ns0:c>
    </ns0:row>
    <ns0:row r="6" ht="24" customHeight="1">
      <ns0:c r="A6" s="17" t="str">
        <ns0:v>玩家平台</ns0:v>
      </ns0:c>
      <ns0:c r="B6" s="18" t="str">
        <ns0:v>返回目录</ns0:v>
      </ns0:c>
      <ns0:c r="C6" s="17"/>
      <ns0:c r="D6" s="17"/>
      <ns0:c r="E6" s="17"/>
      <ns0:c r="F6" s="17"/>
      <ns0:c r="G6" s="17"/>
      <ns0:c r="H6" s="17"/>
      <ns0:c r="I6" s="17"/>
      <ns0:c r="J6" s="17"/>
      <ns0:c r="K6" s="17"/>
      <ns0:c r="L6" s="17"/>
      <ns0:c r="M6" s="17"/>
      <ns0:c r="N6" s="17"/>
      <ns0:c r="O6" s="17"/>
      <ns0:c r="P6" s="17"/>
    </ns0:row>
    <ns0:row r="7" ht="22" customHeight="1">
      <ns0:c r="A7" s="10" t="str">
        <ns0:v>分组族</ns0:v>
      </ns0:c>
      <ns0:c r="B7" s="11" t="str">
        <ns0:v>总体</ns0:v>
      </ns0:c>
      <ns0:c r="C7" s="41" t="str">
        <ns0:v>玩家经验互斥</ns0:v>
      </ns0:c>
      <ns0:c r="D7" s="12"/>
      <ns0:c r="E7" s="12"/>
      <ns0:c r="F7" s="12"/>
      <ns0:c r="G7" s="46" t="str">
        <ns0:v>参与平台</ns0:v>
      </ns0:c>
      <ns0:c r="H7" s="13"/>
      <ns0:c r="I7" s="48" t="str">
        <ns0:v>满意度分层</ns0:v>
      </ns0:c>
      <ns0:c r="J7" s="14"/>
      <ns0:c r="K7" s="48" t="str">
        <ns0:v>上手表现分层</ns0:v>
      </ns0:c>
      <ns0:c r="L7" s="14"/>
      <ns0:c r="M7" s="48" t="str">
        <ns0:v>继续游玩分层</ns0:v>
      </ns0:c>
      <ns0:c r="N7" s="14"/>
      <ns0:c r="O7" s="48" t="str">
        <ns0:v>推荐意愿分层</ns0:v>
      </ns0:c>
      <ns0:c r="P7" s="14"/>
    </ns0:row>
    <ns0:row r="8" ht="44" customHeight="1">
      <ns0:c r="A8" s="10" t="str">
        <ns0:v>选项 / 指标</ns0:v>
      </ns0:c>
      <ns0:c r="B8" s="11" t="str">
        <ns0:v>Total</ns0:v>
      </ns0:c>
      <ns0:c r="C8" s="41" t="str">
        <ns0:v>横版动作核心</ns0:v>
      </ns0:c>
      <ns0:c r="D8" s="12" t="str">
        <ns0:v>二游ARPG</ns0:v>
      </ns0:c>
      <ns0:c r="E8" s="12" t="str">
        <ns0:v>银河恶魔城</ns0:v>
      </ns0:c>
      <ns0:c r="F8" s="12" t="str">
        <ns0:v>泛用户</ns0:v>
      </ns0:c>
      <ns0:c r="G8" s="46" t="str">
        <ns0:v>移动端 ‡</ns0:v>
      </ns0:c>
      <ns0:c r="H8" s="13" t="str">
        <ns0:v>PC/主机 ‡</ns0:v>
      </ns0:c>
      <ns0:c r="I8" s="48" t="str">
        <ns0:v>高满意（4–5分）</ns0:v>
      </ns0:c>
      <ns0:c r="J8" s="14" t="str">
        <ns0:v>非高满意（1–3分）</ns0:v>
      </ns0:c>
      <ns0:c r="K8" s="48" t="str">
        <ns0:v>容易上手（4–5分）</ns0:v>
      </ns0:c>
      <ns0:c r="L8" s="14" t="str">
        <ns0:v>非容易上手（1–3分）</ns0:v>
      </ns0:c>
      <ns0:c r="M8" s="48" t="str">
        <ns0:v>高意愿（4–5分）</ns0:v>
      </ns0:c>
      <ns0:c r="N8" s="14" t="str">
        <ns0:v>非高意愿（1–3分）</ns0:v>
      </ns0:c>
      <ns0:c r="O8" s="48" t="str">
        <ns0:v>推荐者（9–10分）</ns0:v>
      </ns0:c>
      <ns0:c r="P8" s="14" t="str">
        <ns0:v>非推荐者（0–8分）</ns0:v>
      </ns0:c>
    </ns0:row>
    <ns0:row r="9">
      <ns0:c r="A9" s="20" t="str">
        <ns0:v>基数（n）：有效回答该题</ns0:v>
      </ns0:c>
      <ns0:c r="B9" s="21" t="n">
        <ns0:v>180</ns0:v>
      </ns0:c>
      <ns0:c r="C9" s="42" t="n">
        <ns0:v>61</ns0:v>
      </ns0:c>
      <ns0:c r="D9" s="21" t="n">
        <ns0:v>57</ns0:v>
      </ns0:c>
      <ns0:c r="E9" s="22" t="n">
        <ns0:v>25</ns0:v>
      </ns0:c>
      <ns0:c r="F9" s="21" t="n">
        <ns0:v>37</ns0:v>
      </ns0:c>
      <ns0:c r="G9" s="42" t="n">
        <ns0:v>101</ns0:v>
      </ns0:c>
      <ns0:c r="H9" s="21" t="n">
        <ns0:v>79</ns0:v>
      </ns0:c>
      <ns0:c r="I9" s="42" t="n">
        <ns0:v>91</ns0:v>
      </ns0:c>
      <ns0:c r="J9" s="21" t="n">
        <ns0:v>89</ns0:v>
      </ns0:c>
      <ns0:c r="K9" s="42" t="n">
        <ns0:v>75</ns0:v>
      </ns0:c>
      <ns0:c r="L9" s="21" t="n">
        <ns0:v>99</ns0:v>
      </ns0:c>
      <ns0:c r="M9" s="42" t="n">
        <ns0:v>58</ns0:v>
      </ns0:c>
      <ns0:c r="N9" s="21" t="n">
        <ns0:v>122</ns0:v>
      </ns0:c>
      <ns0:c r="O9" s="42" t="n">
        <ns0:v>61</ns0:v>
      </ns0:c>
      <ns0:c r="P9" s="21" t="n">
        <ns0:v>114</ns0:v>
      </ns0:c>
    </ns0:row>
    <ns0:row r="10" ht="26" customHeight="1">
      <ns0:c r="A10" s="25" t="str">
        <ns0:v>[Q1].本次测试主要使用的平台是？</ns0:v>
      </ns0:c>
      <ns0:c r="B10" s="25"/>
      <ns0:c r="C10" s="43"/>
      <ns0:c r="D10" s="25"/>
      <ns0:c r="E10" s="25"/>
      <ns0:c r="F10" s="25"/>
      <ns0:c r="G10" s="43"/>
      <ns0:c r="H10" s="25"/>
      <ns0:c r="I10" s="43"/>
      <ns0:c r="J10" s="25"/>
      <ns0:c r="K10" s="43"/>
      <ns0:c r="L10" s="25"/>
      <ns0:c r="M10" s="43"/>
      <ns0:c r="N10" s="25"/>
      <ns0:c r="O10" s="43"/>
      <ns0:c r="P10" s="25"/>
    </ns0:row>
    <ns0:row r="11" ht="22" customHeight="1">
      <ns0:c r="A11" s="26" t="str">
        <ns0:v>移动端</ns0:v>
      </ns0:c>
      <ns0:c r="B11" s="28" t="n">
        <ns0:v>0.5611111111111111</ns0:v>
      </ns0:c>
      <ns0:c r="C11" s="44" t="n">
        <ns0:v>0.5081967213114754</ns0:v>
      </ns0:c>
      <ns0:c r="D11" s="30" t="n">
        <ns0:v>0.6491228070175439</ns0:v>
      </ns0:c>
      <ns0:c r="E11" s="31" t="n">
        <ns0:v>0.4</ns0:v>
      </ns0:c>
      <ns0:c r="F11" s="30" t="n">
        <ns0:v>0.6216216216216216</ns0:v>
      </ns0:c>
      <ns0:c r="G11" s="47" t="n">
        <ns0:v>1</ns0:v>
      </ns0:c>
      <ns0:c r="H11" s="29" t="n">
        <ns0:v>0</ns0:v>
      </ns0:c>
      <ns0:c r="I11" s="44" t="n">
        <ns0:v>0.5054945054945055</ns0:v>
      </ns0:c>
      <ns0:c r="J11" s="29" t="n">
        <ns0:v>0.6179775280898876</ns0:v>
      </ns0:c>
      <ns0:c r="K11" s="47" t="n">
        <ns0:v>0.64</ns0:v>
      </ns0:c>
      <ns0:c r="L11" s="29" t="n">
        <ns0:v>0.5050505050505051</ns0:v>
      </ns0:c>
      <ns0:c r="M11" s="44" t="n">
        <ns0:v>0.6206896551724138</ns0:v>
      </ns0:c>
      <ns0:c r="N11" s="29" t="n">
        <ns0:v>0.5327868852459017</ns0:v>
      </ns0:c>
      <ns0:c r="O11" s="44" t="n">
        <ns0:v>0.5245901639344263</ns0:v>
      </ns0:c>
      <ns0:c r="P11" s="29" t="n">
        <ns0:v>0.5964912280701754</ns0:v>
      </ns0:c>
    </ns0:row>
    <ns0:row r="12" ht="22" customHeight="1">
      <ns0:c r="A12" s="26" t="str">
        <ns0:v>PC/主机</ns0:v>
      </ns0:c>
      <ns0:c r="B12" s="28" t="n">
        <ns0:v>0.4388888888888889</ns0:v>
      </ns0:c>
      <ns0:c r="C12" s="44" t="n">
        <ns0:v>0.4918032786885246</ns0:v>
      </ns0:c>
      <ns0:c r="D12" s="29" t="n">
        <ns0:v>0.3508771929824561</ns0:v>
      </ns0:c>
      <ns0:c r="E12" s="32" t="n">
        <ns0:v>0.6</ns0:v>
      </ns0:c>
      <ns0:c r="F12" s="29" t="n">
        <ns0:v>0.3783783783783784</ns0:v>
      </ns0:c>
      <ns0:c r="G12" s="44" t="n">
        <ns0:v>0</ns0:v>
      </ns0:c>
      <ns0:c r="H12" s="30" t="n">
        <ns0:v>1</ns0:v>
      </ns0:c>
      <ns0:c r="I12" s="44" t="n">
        <ns0:v>0.4945054945054945</ns0:v>
      </ns0:c>
      <ns0:c r="J12" s="29" t="n">
        <ns0:v>0.38202247191011235</ns0:v>
      </ns0:c>
      <ns0:c r="K12" s="44" t="n">
        <ns0:v>0.36</ns0:v>
      </ns0:c>
      <ns0:c r="L12" s="30" t="n">
        <ns0:v>0.494949494949495</ns0:v>
      </ns0:c>
      <ns0:c r="M12" s="44" t="n">
        <ns0:v>0.3793103448275862</ns0:v>
      </ns0:c>
      <ns0:c r="N12" s="29" t="n">
        <ns0:v>0.4672131147540984</ns0:v>
      </ns0:c>
      <ns0:c r="O12" s="44" t="n">
        <ns0:v>0.47540983606557374</ns0:v>
      </ns0:c>
      <ns0:c r="P12" s="29" t="n">
        <ns0:v>0.40350877192982454</ns0:v>
      </ns0:c>
    </ns0:row>
    <ns0:row r="13" ht="24" customHeight="1">
      <ns0:c r="A13" s="39" t="str">
        <ns0:v>Total</ns0:v>
      </ns0:c>
      <ns0:c r="B13" s="40" t="n">
        <ns0:f>SUM('体验问卷大表'!B11,'体验问卷大表'!B12)</ns0:f>
        <ns0:v>1</ns0:v>
      </ns0:c>
      <ns0:c r="C13" s="45" t="n">
        <ns0:f>SUM('体验问卷大表'!C11,'体验问卷大表'!C12)</ns0:f>
        <ns0:v>1</ns0:v>
      </ns0:c>
      <ns0:c r="D13" s="40" t="n">
        <ns0:f>SUM('体验问卷大表'!D11,'体验问卷大表'!D12)</ns0:f>
        <ns0:v>1</ns0:v>
      </ns0:c>
      <ns0:c r="E13" s="40" t="n">
        <ns0:f>SUM('体验问卷大表'!E11,'体验问卷大表'!E12)</ns0:f>
        <ns0:v>1</ns0:v>
      </ns0:c>
      <ns0:c r="F13" s="40" t="n">
        <ns0:f>SUM('体验问卷大表'!F11,'体验问卷大表'!F12)</ns0:f>
        <ns0:v>1</ns0:v>
      </ns0:c>
      <ns0:c r="G13" s="45" t="n">
        <ns0:f>SUM('体验问卷大表'!G11,'体验问卷大表'!G12)</ns0:f>
        <ns0:v>1</ns0:v>
      </ns0:c>
      <ns0:c r="H13" s="40" t="n">
        <ns0:f>SUM('体验问卷大表'!H11,'体验问卷大表'!H12)</ns0:f>
        <ns0:v>1</ns0:v>
      </ns0:c>
      <ns0:c r="I13" s="45" t="n">
        <ns0:f>SUM('体验问卷大表'!I11,'体验问卷大表'!I12)</ns0:f>
        <ns0:v>1</ns0:v>
      </ns0:c>
      <ns0:c r="J13" s="40" t="n">
        <ns0:f>SUM('体验问卷大表'!J11,'体验问卷大表'!J12)</ns0:f>
        <ns0:v>1</ns0:v>
      </ns0:c>
      <ns0:c r="K13" s="45" t="n">
        <ns0:f>SUM('体验问卷大表'!K11,'体验问卷大表'!K12)</ns0:f>
        <ns0:v>1</ns0:v>
      </ns0:c>
      <ns0:c r="L13" s="40" t="n">
        <ns0:f>SUM('体验问卷大表'!L11,'体验问卷大表'!L12)</ns0:f>
        <ns0:v>1</ns0:v>
      </ns0:c>
      <ns0:c r="M13" s="45" t="n">
        <ns0:f>SUM('体验问卷大表'!M11,'体验问卷大表'!M12)</ns0:f>
        <ns0:v>1</ns0:v>
      </ns0:c>
      <ns0:c r="N13" s="40" t="n">
        <ns0:f>SUM('体验问卷大表'!N11,'体验问卷大表'!N12)</ns0:f>
        <ns0:v>1</ns0:v>
      </ns0:c>
      <ns0:c r="O13" s="45" t="n">
        <ns0:f>SUM('体验问卷大表'!O11,'体验问卷大表'!O12)</ns0:f>
        <ns0:v>1</ns0:v>
      </ns0:c>
      <ns0:c r="P13" s="40" t="n">
        <ns0:f>SUM('体验问卷大表'!P11,'体验问卷大表'!P12)</ns0:f>
        <ns0:v>1</ns0:v>
      </ns0:c>
    </ns0:row>
    <ns0:row r="16" ht="24" customHeight="1">
      <ns0:c r="A16" s="17" t="str">
        <ns0:v>玩家经验</ns0:v>
      </ns0:c>
      <ns0:c r="B16" s="18" t="str">
        <ns0:v>返回目录</ns0:v>
      </ns0:c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</ns0:row>
    <ns0:row r="17" ht="22" customHeight="1">
      <ns0:c r="A17" s="10" t="str">
        <ns0:v>分组族</ns0:v>
      </ns0:c>
      <ns0:c r="B17" s="11" t="str">
        <ns0:v>总体</ns0:v>
      </ns0:c>
      <ns0:c r="C17" s="41" t="str">
        <ns0:v>玩家经验互斥</ns0:v>
      </ns0:c>
      <ns0:c r="D17" s="12"/>
      <ns0:c r="E17" s="12"/>
      <ns0:c r="F17" s="12"/>
      <ns0:c r="G17" s="46" t="str">
        <ns0:v>参与平台</ns0:v>
      </ns0:c>
      <ns0:c r="H17" s="13"/>
      <ns0:c r="I17" s="48" t="str">
        <ns0:v>满意度分层</ns0:v>
      </ns0:c>
      <ns0:c r="J17" s="14"/>
      <ns0:c r="K17" s="48" t="str">
        <ns0:v>上手表现分层</ns0:v>
      </ns0:c>
      <ns0:c r="L17" s="14"/>
      <ns0:c r="M17" s="48" t="str">
        <ns0:v>继续游玩分层</ns0:v>
      </ns0:c>
      <ns0:c r="N17" s="14"/>
      <ns0:c r="O17" s="48" t="str">
        <ns0:v>推荐意愿分层</ns0:v>
      </ns0:c>
      <ns0:c r="P17" s="14"/>
    </ns0:row>
    <ns0:row r="18" ht="44" customHeight="1">
      <ns0:c r="A18" s="10" t="str">
        <ns0:v>选项 / 指标</ns0:v>
      </ns0:c>
      <ns0:c r="B18" s="11" t="str">
        <ns0:v>Total</ns0:v>
      </ns0:c>
      <ns0:c r="C18" s="41" t="str">
        <ns0:v>横版动作核心 ‡</ns0:v>
      </ns0:c>
      <ns0:c r="D18" s="12" t="str">
        <ns0:v>二游ARPG ‡</ns0:v>
      </ns0:c>
      <ns0:c r="E18" s="12" t="str">
        <ns0:v>银河恶魔城 ‡</ns0:v>
      </ns0:c>
      <ns0:c r="F18" s="12" t="str">
        <ns0:v>泛用户 ‡</ns0:v>
      </ns0:c>
      <ns0:c r="G18" s="46" t="str">
        <ns0:v>移动端</ns0:v>
      </ns0:c>
      <ns0:c r="H18" s="13" t="str">
        <ns0:v>PC/主机</ns0:v>
      </ns0:c>
      <ns0:c r="I18" s="48" t="str">
        <ns0:v>高满意（4–5分）</ns0:v>
      </ns0:c>
      <ns0:c r="J18" s="14" t="str">
        <ns0:v>非高满意（1–3分）</ns0:v>
      </ns0:c>
      <ns0:c r="K18" s="48" t="str">
        <ns0:v>容易上手（4–5分）</ns0:v>
      </ns0:c>
      <ns0:c r="L18" s="14" t="str">
        <ns0:v>非容易上手（1–3分）</ns0:v>
      </ns0:c>
      <ns0:c r="M18" s="48" t="str">
        <ns0:v>高意愿（4–5分）</ns0:v>
      </ns0:c>
      <ns0:c r="N18" s="14" t="str">
        <ns0:v>非高意愿（1–3分）</ns0:v>
      </ns0:c>
      <ns0:c r="O18" s="48" t="str">
        <ns0:v>推荐者（9–10分）</ns0:v>
      </ns0:c>
      <ns0:c r="P18" s="14" t="str">
        <ns0:v>非推荐者（0–8分）</ns0:v>
      </ns0:c>
    </ns0:row>
    <ns0:row r="19">
      <ns0:c r="A19" s="20" t="str">
        <ns0:v>基数（n）：有效回答该题</ns0:v>
      </ns0:c>
      <ns0:c r="B19" s="21" t="n">
        <ns0:v>180</ns0:v>
      </ns0:c>
      <ns0:c r="C19" s="42" t="n">
        <ns0:v>61</ns0:v>
      </ns0:c>
      <ns0:c r="D19" s="21" t="n">
        <ns0:v>57</ns0:v>
      </ns0:c>
      <ns0:c r="E19" s="22" t="n">
        <ns0:v>25</ns0:v>
      </ns0:c>
      <ns0:c r="F19" s="21" t="n">
        <ns0:v>37</ns0:v>
      </ns0:c>
      <ns0:c r="G19" s="42" t="n">
        <ns0:v>101</ns0:v>
      </ns0:c>
      <ns0:c r="H19" s="21" t="n">
        <ns0:v>79</ns0:v>
      </ns0:c>
      <ns0:c r="I19" s="42" t="n">
        <ns0:v>91</ns0:v>
      </ns0:c>
      <ns0:c r="J19" s="21" t="n">
        <ns0:v>89</ns0:v>
      </ns0:c>
      <ns0:c r="K19" s="42" t="n">
        <ns0:v>75</ns0:v>
      </ns0:c>
      <ns0:c r="L19" s="21" t="n">
        <ns0:v>99</ns0:v>
      </ns0:c>
      <ns0:c r="M19" s="42" t="n">
        <ns0:v>58</ns0:v>
      </ns0:c>
      <ns0:c r="N19" s="21" t="n">
        <ns0:v>122</ns0:v>
      </ns0:c>
      <ns0:c r="O19" s="42" t="n">
        <ns0:v>61</ns0:v>
      </ns0:c>
      <ns0:c r="P19" s="21" t="n">
        <ns0:v>114</ns0:v>
      </ns0:c>
    </ns0:row>
    <ns0:row r="20" ht="26" customHeight="1">
      <ns0:c r="A20" s="25" t="str">
        <ns0:v>[Q2].以下哪类游戏经验最符合你？</ns0:v>
      </ns0:c>
      <ns0:c r="B20" s="25"/>
      <ns0:c r="C20" s="43"/>
      <ns0:c r="D20" s="25"/>
      <ns0:c r="E20" s="25"/>
      <ns0:c r="F20" s="25"/>
      <ns0:c r="G20" s="43"/>
      <ns0:c r="H20" s="25"/>
      <ns0:c r="I20" s="43"/>
      <ns0:c r="J20" s="25"/>
      <ns0:c r="K20" s="43"/>
      <ns0:c r="L20" s="25"/>
      <ns0:c r="M20" s="43"/>
      <ns0:c r="N20" s="25"/>
      <ns0:c r="O20" s="43"/>
      <ns0:c r="P20" s="25"/>
    </ns0:row>
    <ns0:row r="21" ht="22" customHeight="1">
      <ns0:c r="A21" s="26" t="str">
        <ns0:v>横版动作核心</ns0:v>
      </ns0:c>
      <ns0:c r="B21" s="28" t="n">
        <ns0:v>0.3388888888888889</ns0:v>
      </ns0:c>
      <ns0:c r="C21" s="47" t="n">
        <ns0:v>1</ns0:v>
      </ns0:c>
      <ns0:c r="D21" s="29" t="n">
        <ns0:v>0</ns0:v>
      </ns0:c>
      <ns0:c r="E21" s="31" t="n">
        <ns0:v>0</ns0:v>
      </ns0:c>
      <ns0:c r="F21" s="29" t="n">
        <ns0:v>0</ns0:v>
      </ns0:c>
      <ns0:c r="G21" s="44" t="n">
        <ns0:v>0.3069306930693069</ns0:v>
      </ns0:c>
      <ns0:c r="H21" s="29" t="n">
        <ns0:v>0.379746835443038</ns0:v>
      </ns0:c>
      <ns0:c r="I21" s="47" t="n">
        <ns0:v>0.46153846153846156</ns0:v>
      </ns0:c>
      <ns0:c r="J21" s="29" t="n">
        <ns0:v>0.21348314606741572</ns0:v>
      </ns0:c>
      <ns0:c r="K21" s="47" t="n">
        <ns0:v>0.52</ns0:v>
      </ns0:c>
      <ns0:c r="L21" s="29" t="n">
        <ns0:v>0.20202020202020202</ns0:v>
      </ns0:c>
      <ns0:c r="M21" s="47" t="n">
        <ns0:v>0.46551724137931033</ns0:v>
      </ns0:c>
      <ns0:c r="N21" s="29" t="n">
        <ns0:v>0.2786885245901639</ns0:v>
      </ns0:c>
      <ns0:c r="O21" s="47" t="n">
        <ns0:v>0.5409836065573771</ns0:v>
      </ns0:c>
      <ns0:c r="P21" s="29" t="n">
        <ns0:v>0.22807017543859648</ns0:v>
      </ns0:c>
    </ns0:row>
    <ns0:row r="22" ht="22" customHeight="1">
      <ns0:c r="A22" s="26" t="str">
        <ns0:v>二游ARPG</ns0:v>
      </ns0:c>
      <ns0:c r="B22" s="28" t="n">
        <ns0:v>0.31666666666666665</ns0:v>
      </ns0:c>
      <ns0:c r="C22" s="44" t="n">
        <ns0:v>0</ns0:v>
      </ns0:c>
      <ns0:c r="D22" s="30" t="n">
        <ns0:v>1</ns0:v>
      </ns0:c>
      <ns0:c r="E22" s="31" t="n">
        <ns0:v>0</ns0:v>
      </ns0:c>
      <ns0:c r="F22" s="29" t="n">
        <ns0:v>0</ns0:v>
      </ns0:c>
      <ns0:c r="G22" s="44" t="n">
        <ns0:v>0.36633663366336633</ns0:v>
      </ns0:c>
      <ns0:c r="H22" s="29" t="n">
        <ns0:v>0.25316455696202533</ns0:v>
      </ns0:c>
      <ns0:c r="I22" s="44" t="n">
        <ns0:v>0.32967032967032966</ns0:v>
      </ns0:c>
      <ns0:c r="J22" s="29" t="n">
        <ns0:v>0.30337078651685395</ns0:v>
      </ns0:c>
      <ns0:c r="K22" s="44" t="n">
        <ns0:v>0.24</ns0:v>
      </ns0:c>
      <ns0:c r="L22" s="30" t="n">
        <ns0:v>0.3838383838383838</ns0:v>
      </ns0:c>
      <ns0:c r="M22" s="44" t="n">
        <ns0:v>0.27586206896551724</ns0:v>
      </ns0:c>
      <ns0:c r="N22" s="29" t="n">
        <ns0:v>0.3360655737704918</ns0:v>
      </ns0:c>
      <ns0:c r="O22" s="44" t="n">
        <ns0:v>0.26229508196721313</ns0:v>
      </ns0:c>
      <ns0:c r="P22" s="29" t="n">
        <ns0:v>0.35964912280701755</ns0:v>
      </ns0:c>
    </ns0:row>
    <ns0:row r="23" ht="22" customHeight="1">
      <ns0:c r="A23" s="26" t="str">
        <ns0:v>银河恶魔城</ns0:v>
      </ns0:c>
      <ns0:c r="B23" s="28" t="n">
        <ns0:v>0.1388888888888889</ns0:v>
      </ns0:c>
      <ns0:c r="C23" s="44" t="n">
        <ns0:v>0</ns0:v>
      </ns0:c>
      <ns0:c r="D23" s="29" t="n">
        <ns0:v>0</ns0:v>
      </ns0:c>
      <ns0:c r="E23" s="32" t="n">
        <ns0:v>1</ns0:v>
      </ns0:c>
      <ns0:c r="F23" s="29" t="n">
        <ns0:v>0</ns0:v>
      </ns0:c>
      <ns0:c r="G23" s="44" t="n">
        <ns0:v>0.09900990099009901</ns0:v>
      </ns0:c>
      <ns0:c r="H23" s="30" t="n">
        <ns0:v>0.189873417721519</ns0:v>
      </ns0:c>
      <ns0:c r="I23" s="44" t="n">
        <ns0:v>0.15384615384615385</ns0:v>
      </ns0:c>
      <ns0:c r="J23" s="29" t="n">
        <ns0:v>0.12359550561797752</ns0:v>
      </ns0:c>
      <ns0:c r="K23" s="44" t="n">
        <ns0:v>0.09333333333333334</ns0:v>
      </ns0:c>
      <ns0:c r="L23" s="29" t="n">
        <ns0:v>0.1717171717171717</ns0:v>
      </ns0:c>
      <ns0:c r="M23" s="44" t="n">
        <ns0:v>0.15517241379310345</ns0:v>
      </ns0:c>
      <ns0:c r="N23" s="29" t="n">
        <ns0:v>0.13114754098360656</ns0:v>
      </ns0:c>
      <ns0:c r="O23" s="44" t="n">
        <ns0:v>0.13114754098360656</ns0:v>
      </ns0:c>
      <ns0:c r="P23" s="29" t="n">
        <ns0:v>0.13157894736842105</ns0:v>
      </ns0:c>
    </ns0:row>
    <ns0:row r="24" ht="22" customHeight="1">
      <ns0:c r="A24" s="26" t="str">
        <ns0:v>泛用户</ns0:v>
      </ns0:c>
      <ns0:c r="B24" s="28" t="n">
        <ns0:v>0.20555555555555555</ns0:v>
      </ns0:c>
      <ns0:c r="C24" s="44" t="n">
        <ns0:v>0</ns0:v>
      </ns0:c>
      <ns0:c r="D24" s="29" t="n">
        <ns0:v>0</ns0:v>
      </ns0:c>
      <ns0:c r="E24" s="31" t="n">
        <ns0:v>0</ns0:v>
      </ns0:c>
      <ns0:c r="F24" s="30" t="n">
        <ns0:v>1</ns0:v>
      </ns0:c>
      <ns0:c r="G24" s="44" t="n">
        <ns0:v>0.22772277227722773</ns0:v>
      </ns0:c>
      <ns0:c r="H24" s="29" t="n">
        <ns0:v>0.17721518987341772</ns0:v>
      </ns0:c>
      <ns0:c r="I24" s="44" t="n">
        <ns0:v>0.054945054945054944</ns0:v>
      </ns0:c>
      <ns0:c r="J24" s="30" t="n">
        <ns0:v>0.3595505617977528</ns0:v>
      </ns0:c>
      <ns0:c r="K24" s="44" t="n">
        <ns0:v>0.14666666666666667</ns0:v>
      </ns0:c>
      <ns0:c r="L24" s="29" t="n">
        <ns0:v>0.24242424242424243</ns0:v>
      </ns0:c>
      <ns0:c r="M24" s="44" t="n">
        <ns0:v>0.10344827586206896</ns0:v>
      </ns0:c>
      <ns0:c r="N24" s="30" t="n">
        <ns0:v>0.2540983606557377</ns0:v>
      </ns0:c>
      <ns0:c r="O24" s="44" t="n">
        <ns0:v>0.06557377049180328</ns0:v>
      </ns0:c>
      <ns0:c r="P24" s="30" t="n">
        <ns0:v>0.2807017543859649</ns0:v>
      </ns0:c>
    </ns0:row>
    <ns0:row r="25" ht="24" customHeight="1">
      <ns0:c r="A25" s="39" t="str">
        <ns0:v>Total</ns0:v>
      </ns0:c>
      <ns0:c r="B25" s="40" t="n">
        <ns0:f>SUM('体验问卷大表'!B21,'体验问卷大表'!B22,'体验问卷大表'!B23,'体验问卷大表'!B24)</ns0:f>
        <ns0:v>1</ns0:v>
      </ns0:c>
      <ns0:c r="C25" s="45" t="n">
        <ns0:f>SUM('体验问卷大表'!C21,'体验问卷大表'!C22,'体验问卷大表'!C23,'体验问卷大表'!C24)</ns0:f>
        <ns0:v>1</ns0:v>
      </ns0:c>
      <ns0:c r="D25" s="40" t="n">
        <ns0:f>SUM('体验问卷大表'!D21,'体验问卷大表'!D22,'体验问卷大表'!D23,'体验问卷大表'!D24)</ns0:f>
        <ns0:v>1</ns0:v>
      </ns0:c>
      <ns0:c r="E25" s="40" t="n">
        <ns0:f>SUM('体验问卷大表'!E21,'体验问卷大表'!E22,'体验问卷大表'!E23,'体验问卷大表'!E24)</ns0:f>
        <ns0:v>1</ns0:v>
      </ns0:c>
      <ns0:c r="F25" s="40" t="n">
        <ns0:f>SUM('体验问卷大表'!F21,'体验问卷大表'!F22,'体验问卷大表'!F23,'体验问卷大表'!F24)</ns0:f>
        <ns0:v>1</ns0:v>
      </ns0:c>
      <ns0:c r="G25" s="45" t="n">
        <ns0:f>SUM('体验问卷大表'!G21,'体验问卷大表'!G22,'体验问卷大表'!G23,'体验问卷大表'!G24)</ns0:f>
        <ns0:v>0.9999999999999999</ns0:v>
      </ns0:c>
      <ns0:c r="H25" s="40" t="n">
        <ns0:f>SUM('体验问卷大表'!H21,'体验问卷大表'!H22,'体验问卷大表'!H23,'体验问卷大表'!H24)</ns0:f>
        <ns0:v>1</ns0:v>
      </ns0:c>
      <ns0:c r="I25" s="45" t="n">
        <ns0:f>SUM('体验问卷大表'!I21,'体验问卷大表'!I22,'体验问卷大表'!I23,'体验问卷大表'!I24)</ns0:f>
        <ns0:v>1</ns0:v>
      </ns0:c>
      <ns0:c r="J25" s="40" t="n">
        <ns0:f>SUM('体验问卷大表'!J21,'体验问卷大表'!J22,'体验问卷大表'!J23,'体验问卷大表'!J24)</ns0:f>
        <ns0:v>1</ns0:v>
      </ns0:c>
      <ns0:c r="K25" s="45" t="n">
        <ns0:f>SUM('体验问卷大表'!K21,'体验问卷大表'!K22,'体验问卷大表'!K23,'体验问卷大表'!K24)</ns0:f>
        <ns0:v>1</ns0:v>
      </ns0:c>
      <ns0:c r="L25" s="40" t="n">
        <ns0:f>SUM('体验问卷大表'!L21,'体验问卷大表'!L22,'体验问卷大表'!L23,'体验问卷大表'!L24)</ns0:f>
        <ns0:v>1</ns0:v>
      </ns0:c>
      <ns0:c r="M25" s="45" t="n">
        <ns0:f>SUM('体验问卷大表'!M21,'体验问卷大表'!M22,'体验问卷大表'!M23,'体验问卷大表'!M24)</ns0:f>
        <ns0:v>1</ns0:v>
      </ns0:c>
      <ns0:c r="N25" s="40" t="n">
        <ns0:f>SUM('体验问卷大表'!N21,'体验问卷大表'!N22,'体验问卷大表'!N23,'体验问卷大表'!N24)</ns0:f>
        <ns0:v>1</ns0:v>
      </ns0:c>
      <ns0:c r="O25" s="45" t="n">
        <ns0:f>SUM('体验问卷大表'!O21,'体验问卷大表'!O22,'体验问卷大表'!O23,'体验问卷大表'!O24)</ns0:f>
        <ns0:v>1</ns0:v>
      </ns0:c>
      <ns0:c r="P25" s="40" t="n">
        <ns0:f>SUM('体验问卷大表'!P21,'体验问卷大表'!P22,'体验问卷大表'!P23,'体验问卷大表'!P24)</ns0:f>
        <ns0:v>1</ns0:v>
      </ns0:c>
    </ns0:row>
    <ns0:row r="28" ht="24" customHeight="1">
      <ns0:c r="A28" s="17" t="str">
        <ns0:v>整体满意度</ns0:v>
      </ns0:c>
      <ns0:c r="B28" s="18" t="str">
        <ns0:v>返回目录</ns0:v>
      </ns0:c>
      <ns0:c r="C28" s="17"/>
      <ns0:c r="D28" s="17"/>
      <ns0:c r="E28" s="17"/>
      <ns0:c r="F28" s="17"/>
      <ns0:c r="G28" s="17"/>
      <ns0:c r="H28" s="17"/>
      <ns0:c r="I28" s="17"/>
      <ns0:c r="J28" s="17"/>
      <ns0:c r="K28" s="17"/>
      <ns0:c r="L28" s="17"/>
      <ns0:c r="M28" s="17"/>
      <ns0:c r="N28" s="17"/>
      <ns0:c r="O28" s="17"/>
      <ns0:c r="P28" s="17"/>
    </ns0:row>
    <ns0:row r="29" ht="22" customHeight="1">
      <ns0:c r="A29" s="10" t="str">
        <ns0:v>分组族</ns0:v>
      </ns0:c>
      <ns0:c r="B29" s="11" t="str">
        <ns0:v>总体</ns0:v>
      </ns0:c>
      <ns0:c r="C29" s="41" t="str">
        <ns0:v>玩家经验互斥</ns0:v>
      </ns0:c>
      <ns0:c r="D29" s="12"/>
      <ns0:c r="E29" s="12"/>
      <ns0:c r="F29" s="12"/>
      <ns0:c r="G29" s="46" t="str">
        <ns0:v>参与平台</ns0:v>
      </ns0:c>
      <ns0:c r="H29" s="13"/>
      <ns0:c r="I29" s="48" t="str">
        <ns0:v>满意度分层</ns0:v>
      </ns0:c>
      <ns0:c r="J29" s="14"/>
      <ns0:c r="K29" s="48" t="str">
        <ns0:v>上手表现分层</ns0:v>
      </ns0:c>
      <ns0:c r="L29" s="14"/>
      <ns0:c r="M29" s="48" t="str">
        <ns0:v>继续游玩分层</ns0:v>
      </ns0:c>
      <ns0:c r="N29" s="14"/>
      <ns0:c r="O29" s="48" t="str">
        <ns0:v>推荐意愿分层</ns0:v>
      </ns0:c>
      <ns0:c r="P29" s="14"/>
    </ns0:row>
    <ns0:row r="30" ht="44" customHeight="1">
      <ns0:c r="A30" s="10" t="str">
        <ns0:v>选项 / 指标</ns0:v>
      </ns0:c>
      <ns0:c r="B30" s="11" t="str">
        <ns0:v>Total</ns0:v>
      </ns0:c>
      <ns0:c r="C30" s="41" t="str">
        <ns0:v>横版动作核心</ns0:v>
      </ns0:c>
      <ns0:c r="D30" s="12" t="str">
        <ns0:v>二游ARPG</ns0:v>
      </ns0:c>
      <ns0:c r="E30" s="12" t="str">
        <ns0:v>银河恶魔城</ns0:v>
      </ns0:c>
      <ns0:c r="F30" s="12" t="str">
        <ns0:v>泛用户</ns0:v>
      </ns0:c>
      <ns0:c r="G30" s="46" t="str">
        <ns0:v>移动端</ns0:v>
      </ns0:c>
      <ns0:c r="H30" s="13" t="str">
        <ns0:v>PC/主机</ns0:v>
      </ns0:c>
      <ns0:c r="I30" s="48" t="str">
        <ns0:v>高满意（4–5分） ‡</ns0:v>
      </ns0:c>
      <ns0:c r="J30" s="14" t="str">
        <ns0:v>非高满意（1–3分） ‡</ns0:v>
      </ns0:c>
      <ns0:c r="K30" s="48" t="str">
        <ns0:v>容易上手（4–5分）</ns0:v>
      </ns0:c>
      <ns0:c r="L30" s="14" t="str">
        <ns0:v>非容易上手（1–3分）</ns0:v>
      </ns0:c>
      <ns0:c r="M30" s="48" t="str">
        <ns0:v>高意愿（4–5分）</ns0:v>
      </ns0:c>
      <ns0:c r="N30" s="14" t="str">
        <ns0:v>非高意愿（1–3分）</ns0:v>
      </ns0:c>
      <ns0:c r="O30" s="48" t="str">
        <ns0:v>推荐者（9–10分）</ns0:v>
      </ns0:c>
      <ns0:c r="P30" s="14" t="str">
        <ns0:v>非推荐者（0–8分）</ns0:v>
      </ns0:c>
    </ns0:row>
    <ns0:row r="31">
      <ns0:c r="A31" s="20" t="str">
        <ns0:v>基数（n）：有效回答该题</ns0:v>
      </ns0:c>
      <ns0:c r="B31" s="21" t="n">
        <ns0:v>180</ns0:v>
      </ns0:c>
      <ns0:c r="C31" s="42" t="n">
        <ns0:v>61</ns0:v>
      </ns0:c>
      <ns0:c r="D31" s="21" t="n">
        <ns0:v>57</ns0:v>
      </ns0:c>
      <ns0:c r="E31" s="22" t="n">
        <ns0:v>25</ns0:v>
      </ns0:c>
      <ns0:c r="F31" s="21" t="n">
        <ns0:v>37</ns0:v>
      </ns0:c>
      <ns0:c r="G31" s="42" t="n">
        <ns0:v>101</ns0:v>
      </ns0:c>
      <ns0:c r="H31" s="21" t="n">
        <ns0:v>79</ns0:v>
      </ns0:c>
      <ns0:c r="I31" s="42" t="n">
        <ns0:v>91</ns0:v>
      </ns0:c>
      <ns0:c r="J31" s="21" t="n">
        <ns0:v>89</ns0:v>
      </ns0:c>
      <ns0:c r="K31" s="42" t="n">
        <ns0:v>75</ns0:v>
      </ns0:c>
      <ns0:c r="L31" s="21" t="n">
        <ns0:v>99</ns0:v>
      </ns0:c>
      <ns0:c r="M31" s="42" t="n">
        <ns0:v>58</ns0:v>
      </ns0:c>
      <ns0:c r="N31" s="21" t="n">
        <ns0:v>122</ns0:v>
      </ns0:c>
      <ns0:c r="O31" s="42" t="n">
        <ns0:v>61</ns0:v>
      </ns0:c>
      <ns0:c r="P31" s="21" t="n">
        <ns0:v>114</ns0:v>
      </ns0:c>
    </ns0:row>
    <ns0:row r="32" ht="26" customHeight="1">
      <ns0:c r="A32" s="25" t="str">
        <ns0:v>[Q3].你对本次测试的整体满意度如何？</ns0:v>
      </ns0:c>
      <ns0:c r="B32" s="25"/>
      <ns0:c r="C32" s="43"/>
      <ns0:c r="D32" s="25"/>
      <ns0:c r="E32" s="25"/>
      <ns0:c r="F32" s="25"/>
      <ns0:c r="G32" s="43"/>
      <ns0:c r="H32" s="25"/>
      <ns0:c r="I32" s="43"/>
      <ns0:c r="J32" s="25"/>
      <ns0:c r="K32" s="43"/>
      <ns0:c r="L32" s="25"/>
      <ns0:c r="M32" s="43"/>
      <ns0:c r="N32" s="25"/>
      <ns0:c r="O32" s="43"/>
      <ns0:c r="P32" s="25"/>
    </ns0:row>
    <ns0:row r="33" ht="22" customHeight="1">
      <ns0:c r="A33" s="53" t="str">
        <ns0:v>Mean ↑</ns0:v>
      </ns0:c>
      <ns0:c r="B33" s="56" t="n">
        <ns0:v>3.4</ns0:v>
      </ns0:c>
      <ns0:c r="C33" s="66" t="n">
        <ns0:v>3.80327868852459</ns0:v>
      </ns0:c>
      <ns0:c r="D33" s="58" t="n">
        <ns0:v>3.473684210526316</ns0:v>
      </ns0:c>
      <ns0:c r="E33" s="60" t="n">
        <ns0:v>3.64</ns0:v>
      </ns0:c>
      <ns0:c r="F33" s="57" t="n">
        <ns0:v>2.4594594594594597</ns0:v>
      </ns0:c>
      <ns0:c r="G33" s="69" t="n">
        <ns0:v>3.267326732673267</ns0:v>
      </ns0:c>
      <ns0:c r="H33" s="58" t="n">
        <ns0:v>3.569620253164557</ns0:v>
      </ns0:c>
      <ns0:c r="I33" s="66" t="n">
        <ns0:v>4.164835164835165</ns0:v>
      </ns0:c>
      <ns0:c r="J33" s="57" t="n">
        <ns0:v>2.6179775280898876</ns0:v>
      </ns0:c>
      <ns0:c r="K33" s="69" t="n">
        <ns0:v>3.36</ns0:v>
      </ns0:c>
      <ns0:c r="L33" s="57" t="n">
        <ns0:v>3.4242424242424243</ns0:v>
      </ns0:c>
      <ns0:c r="M33" s="66" t="n">
        <ns0:v>3.8620689655172415</ns0:v>
      </ns0:c>
      <ns0:c r="N33" s="57" t="n">
        <ns0:v>3.180327868852459</ns0:v>
      </ns0:c>
      <ns0:c r="O33" s="66" t="n">
        <ns0:v>4.098360655737705</ns0:v>
      </ns0:c>
      <ns0:c r="P33" s="57" t="n">
        <ns0:v>3.026315789473684</ns0:v>
      </ns0:c>
    </ns0:row>
    <ns0:row r="34" ht="22" customHeight="1">
      <ns0:c r="A34" s="53" t="str">
        <ns0:v>【指标】T2B（4–5分） ↑</ns0:v>
      </ns0:c>
      <ns0:c r="B34" s="61" t="n">
        <ns0:v>0.5055555555555555</ns0:v>
      </ns0:c>
      <ns0:c r="C34" s="67" t="n">
        <ns0:v>0.6885245901639344</ns0:v>
      </ns0:c>
      <ns0:c r="D34" s="63" t="n">
        <ns0:v>0.5263157894736842</ns0:v>
      </ns0:c>
      <ns0:c r="E34" s="65" t="n">
        <ns0:v>0.56</ns0:v>
      </ns0:c>
      <ns0:c r="F34" s="62" t="n">
        <ns0:v>0.13513513513513514</ns0:v>
      </ns0:c>
      <ns0:c r="G34" s="68" t="n">
        <ns0:v>0.45544554455445546</ns0:v>
      </ns0:c>
      <ns0:c r="H34" s="62" t="n">
        <ns0:v>0.569620253164557</ns0:v>
      </ns0:c>
      <ns0:c r="I34" s="67" t="n">
        <ns0:v>1</ns0:v>
      </ns0:c>
      <ns0:c r="J34" s="62" t="n">
        <ns0:v>0</ns0:v>
      </ns0:c>
      <ns0:c r="K34" s="68" t="n">
        <ns0:v>0.5066666666666667</ns0:v>
      </ns0:c>
      <ns0:c r="L34" s="62" t="n">
        <ns0:v>0.5050505050505051</ns0:v>
      </ns0:c>
      <ns0:c r="M34" s="67" t="n">
        <ns0:v>0.7413793103448276</ns0:v>
      </ns0:c>
      <ns0:c r="N34" s="62" t="n">
        <ns0:v>0.39344262295081966</ns0:v>
      </ns0:c>
      <ns0:c r="O34" s="67" t="n">
        <ns0:v>0.9016393442622951</ns0:v>
      </ns0:c>
      <ns0:c r="P34" s="62" t="n">
        <ns0:v>0.2982456140350877</ns0:v>
      </ns0:c>
    </ns0:row>
    <ns0:row r="35" ht="22" customHeight="1">
      <ns0:c r="A35" s="53" t="str">
        <ns0:v>【指标】B2B（1–2分） ↓</ns0:v>
      </ns0:c>
      <ns0:c r="B35" s="61" t="n">
        <ns0:v>0.17222222222222222</ns0:v>
      </ns0:c>
      <ns0:c r="C35" s="68" t="n">
        <ns0:v>0.04918032786885246</ns0:v>
      </ns0:c>
      <ns0:c r="D35" s="62" t="n">
        <ns0:v>0.08771929824561403</ns0:v>
      </ns0:c>
      <ns0:c r="E35" s="64" t="n">
        <ns0:v>0.04</ns0:v>
      </ns0:c>
      <ns0:c r="F35" s="63" t="n">
        <ns0:v>0.5945945945945946</ns0:v>
      </ns0:c>
      <ns0:c r="G35" s="67" t="n">
        <ns0:v>0.2376237623762376</ns0:v>
      </ns0:c>
      <ns0:c r="H35" s="62" t="n">
        <ns0:v>0.08860759493670886</ns0:v>
      </ns0:c>
      <ns0:c r="I35" s="68" t="n">
        <ns0:v>0</ns0:v>
      </ns0:c>
      <ns0:c r="J35" s="63" t="n">
        <ns0:v>0.34831460674157305</ns0:v>
      </ns0:c>
      <ns0:c r="K35" s="68" t="n">
        <ns0:v>0.18666666666666668</ns0:v>
      </ns0:c>
      <ns0:c r="L35" s="62" t="n">
        <ns0:v>0.16161616161616163</ns0:v>
      </ns0:c>
      <ns0:c r="M35" s="68" t="n">
        <ns0:v>0.06896551724137931</ns0:v>
      </ns0:c>
      <ns0:c r="N35" s="63" t="n">
        <ns0:v>0.22131147540983606</ns0:v>
      </ns0:c>
      <ns0:c r="O35" s="68" t="n">
        <ns0:v>0</ns0:v>
      </ns0:c>
      <ns0:c r="P35" s="63" t="n">
        <ns0:v>0.2719298245614035</ns0:v>
      </ns0:c>
    </ns0:row>
    <ns0:row r="36" ht="22" customHeight="1">
      <ns0:c r="A36" s="26" t="str">
        <ns0:v>很不满意</ns0:v>
      </ns0:c>
      <ns0:c r="B36" s="28" t="n">
        <ns0:v>0.016666666666666666</ns0:v>
      </ns0:c>
      <ns0:c r="C36" s="44" t="n">
        <ns0:v>0</ns0:v>
      </ns0:c>
      <ns0:c r="D36" s="29" t="n">
        <ns0:v>0</ns0:v>
      </ns0:c>
      <ns0:c r="E36" s="31" t="n">
        <ns0:v>0</ns0:v>
      </ns0:c>
      <ns0:c r="F36" s="30" t="n">
        <ns0:v>0.08108108108108109</ns0:v>
      </ns0:c>
      <ns0:c r="G36" s="44" t="n">
        <ns0:v>0.019801980198019802</ns0:v>
      </ns0:c>
      <ns0:c r="H36" s="29" t="n">
        <ns0:v>0.012658227848101266</ns0:v>
      </ns0:c>
      <ns0:c r="I36" s="44" t="n">
        <ns0:v>0</ns0:v>
      </ns0:c>
      <ns0:c r="J36" s="30" t="n">
        <ns0:v>0.033707865168539325</ns0:v>
      </ns0:c>
      <ns0:c r="K36" s="44" t="n">
        <ns0:v>0.02666666666666667</ns0:v>
      </ns0:c>
      <ns0:c r="L36" s="29" t="n">
        <ns0:v>0.010101010101010102</ns0:v>
      </ns0:c>
      <ns0:c r="M36" s="44" t="n">
        <ns0:v>0</ns0:v>
      </ns0:c>
      <ns0:c r="N36" s="29" t="n">
        <ns0:v>0.02459016393442623</ns0:v>
      </ns0:c>
      <ns0:c r="O36" s="44" t="n">
        <ns0:v>0</ns0:v>
      </ns0:c>
      <ns0:c r="P36" s="29" t="n">
        <ns0:v>0.02631578947368421</ns0:v>
      </ns0:c>
    </ns0:row>
    <ns0:row r="37" ht="22" customHeight="1">
      <ns0:c r="A37" s="26" t="str">
        <ns0:v>不满意</ns0:v>
      </ns0:c>
      <ns0:c r="B37" s="28" t="n">
        <ns0:v>0.15555555555555556</ns0:v>
      </ns0:c>
      <ns0:c r="C37" s="44" t="n">
        <ns0:v>0.04918032786885246</ns0:v>
      </ns0:c>
      <ns0:c r="D37" s="29" t="n">
        <ns0:v>0.08771929824561403</ns0:v>
      </ns0:c>
      <ns0:c r="E37" s="31" t="n">
        <ns0:v>0.04</ns0:v>
      </ns0:c>
      <ns0:c r="F37" s="30" t="n">
        <ns0:v>0.5135135135135135</ns0:v>
      </ns0:c>
      <ns0:c r="G37" s="47" t="n">
        <ns0:v>0.21782178217821782</ns0:v>
      </ns0:c>
      <ns0:c r="H37" s="29" t="n">
        <ns0:v>0.0759493670886076</ns0:v>
      </ns0:c>
      <ns0:c r="I37" s="44" t="n">
        <ns0:v>0</ns0:v>
      </ns0:c>
      <ns0:c r="J37" s="30" t="n">
        <ns0:v>0.3146067415730337</ns0:v>
      </ns0:c>
      <ns0:c r="K37" s="44" t="n">
        <ns0:v>0.16</ns0:v>
      </ns0:c>
      <ns0:c r="L37" s="29" t="n">
        <ns0:v>0.15151515151515152</ns0:v>
      </ns0:c>
      <ns0:c r="M37" s="44" t="n">
        <ns0:v>0.06896551724137931</ns0:v>
      </ns0:c>
      <ns0:c r="N37" s="30" t="n">
        <ns0:v>0.19672131147540983</ns0:v>
      </ns0:c>
      <ns0:c r="O37" s="44" t="n">
        <ns0:v>0</ns0:v>
      </ns0:c>
      <ns0:c r="P37" s="30" t="n">
        <ns0:v>0.24561403508771928</ns0:v>
      </ns0:c>
    </ns0:row>
    <ns0:row r="38" ht="22" customHeight="1">
      <ns0:c r="A38" s="26" t="str">
        <ns0:v>一般</ns0:v>
      </ns0:c>
      <ns0:c r="B38" s="28" t="n">
        <ns0:v>0.32222222222222224</ns0:v>
      </ns0:c>
      <ns0:c r="C38" s="44" t="n">
        <ns0:v>0.26229508196721313</ns0:v>
      </ns0:c>
      <ns0:c r="D38" s="29" t="n">
        <ns0:v>0.38596491228070173</ns0:v>
      </ns0:c>
      <ns0:c r="E38" s="31" t="n">
        <ns0:v>0.4</ns0:v>
      </ns0:c>
      <ns0:c r="F38" s="29" t="n">
        <ns0:v>0.2702702702702703</ns0:v>
      </ns0:c>
      <ns0:c r="G38" s="44" t="n">
        <ns0:v>0.3069306930693069</ns0:v>
      </ns0:c>
      <ns0:c r="H38" s="29" t="n">
        <ns0:v>0.34177215189873417</ns0:v>
      </ns0:c>
      <ns0:c r="I38" s="44" t="n">
        <ns0:v>0</ns0:v>
      </ns0:c>
      <ns0:c r="J38" s="30" t="n">
        <ns0:v>0.651685393258427</ns0:v>
      </ns0:c>
      <ns0:c r="K38" s="44" t="n">
        <ns0:v>0.30666666666666664</ns0:v>
      </ns0:c>
      <ns0:c r="L38" s="29" t="n">
        <ns0:v>0.3333333333333333</ns0:v>
      </ns0:c>
      <ns0:c r="M38" s="44" t="n">
        <ns0:v>0.1896551724137931</ns0:v>
      </ns0:c>
      <ns0:c r="N38" s="30" t="n">
        <ns0:v>0.38524590163934425</ns0:v>
      </ns0:c>
      <ns0:c r="O38" s="44" t="n">
        <ns0:v>0.09836065573770492</ns0:v>
      </ns0:c>
      <ns0:c r="P38" s="30" t="n">
        <ns0:v>0.4298245614035088</ns0:v>
      </ns0:c>
    </ns0:row>
    <ns0:row r="39" ht="22" customHeight="1">
      <ns0:c r="A39" s="26" t="str">
        <ns0:v>满意</ns0:v>
      </ns0:c>
      <ns0:c r="B39" s="28" t="n">
        <ns0:v>0.4222222222222222</ns0:v>
      </ns0:c>
      <ns0:c r="C39" s="47" t="n">
        <ns0:v>0.5245901639344263</ns0:v>
      </ns0:c>
      <ns0:c r="D39" s="30" t="n">
        <ns0:v>0.49122807017543857</ns0:v>
      </ns0:c>
      <ns0:c r="E39" s="32" t="n">
        <ns0:v>0.44</ns0:v>
      </ns0:c>
      <ns0:c r="F39" s="29" t="n">
        <ns0:v>0.13513513513513514</ns0:v>
      </ns0:c>
      <ns0:c r="G39" s="44" t="n">
        <ns0:v>0.38613861386138615</ns0:v>
      </ns0:c>
      <ns0:c r="H39" s="29" t="n">
        <ns0:v>0.46835443037974683</ns0:v>
      </ns0:c>
      <ns0:c r="I39" s="47" t="n">
        <ns0:v>0.8351648351648352</ns0:v>
      </ns0:c>
      <ns0:c r="J39" s="29" t="n">
        <ns0:v>0</ns0:v>
      </ns0:c>
      <ns0:c r="K39" s="44" t="n">
        <ns0:v>0.44</ns0:v>
      </ns0:c>
      <ns0:c r="L39" s="29" t="n">
        <ns0:v>0.41414141414141414</ns0:v>
      </ns0:c>
      <ns0:c r="M39" s="47" t="n">
        <ns0:v>0.5517241379310345</ns0:v>
      </ns0:c>
      <ns0:c r="N39" s="29" t="n">
        <ns0:v>0.36065573770491804</ns0:v>
      </ns0:c>
      <ns0:c r="O39" s="47" t="n">
        <ns0:v>0.7049180327868853</ns0:v>
      </ns0:c>
      <ns0:c r="P39" s="29" t="n">
        <ns0:v>0.2719298245614035</ns0:v>
      </ns0:c>
    </ns0:row>
    <ns0:row r="40" ht="22" customHeight="1">
      <ns0:c r="A40" s="26" t="str">
        <ns0:v>非常满意</ns0:v>
      </ns0:c>
      <ns0:c r="B40" s="28" t="n">
        <ns0:v>0.08333333333333333</ns0:v>
      </ns0:c>
      <ns0:c r="C40" s="47" t="n">
        <ns0:v>0.16393442622950818</ns0:v>
      </ns0:c>
      <ns0:c r="D40" s="29" t="n">
        <ns0:v>0.03508771929824561</ns0:v>
      </ns0:c>
      <ns0:c r="E40" s="32" t="n">
        <ns0:v>0.12</ns0:v>
      </ns0:c>
      <ns0:c r="F40" s="29" t="n">
        <ns0:v>0</ns0:v>
      </ns0:c>
      <ns0:c r="G40" s="44" t="n">
        <ns0:v>0.06930693069306931</ns0:v>
      </ns0:c>
      <ns0:c r="H40" s="29" t="n">
        <ns0:v>0.10126582278481013</ns0:v>
      </ns0:c>
      <ns0:c r="I40" s="47" t="n">
        <ns0:v>0.16483516483516483</ns0:v>
      </ns0:c>
      <ns0:c r="J40" s="29" t="n">
        <ns0:v>0</ns0:v>
      </ns0:c>
      <ns0:c r="K40" s="44" t="n">
        <ns0:v>0.06666666666666667</ns0:v>
      </ns0:c>
      <ns0:c r="L40" s="29" t="n">
        <ns0:v>0.09090909090909091</ns0:v>
      </ns0:c>
      <ns0:c r="M40" s="47" t="n">
        <ns0:v>0.1896551724137931</ns0:v>
      </ns0:c>
      <ns0:c r="N40" s="29" t="n">
        <ns0:v>0.03278688524590164</ns0:v>
      </ns0:c>
      <ns0:c r="O40" s="47" t="n">
        <ns0:v>0.19672131147540983</ns0:v>
      </ns0:c>
      <ns0:c r="P40" s="29" t="n">
        <ns0:v>0.02631578947368421</ns0:v>
      </ns0:c>
    </ns0:row>
    <ns0:row r="41" ht="24" customHeight="1">
      <ns0:c r="A41" s="39" t="str">
        <ns0:v>Total</ns0:v>
      </ns0:c>
      <ns0:c r="B41" s="40" t="n">
        <ns0:f>SUM('体验问卷大表'!B36,'体验问卷大表'!B37,'体验问卷大表'!B38,'体验问卷大表'!B39,'体验问卷大表'!B40)</ns0:f>
        <ns0:v>1</ns0:v>
      </ns0:c>
      <ns0:c r="C41" s="45" t="n">
        <ns0:f>SUM('体验问卷大表'!C36,'体验问卷大表'!C37,'体验问卷大表'!C38,'体验问卷大表'!C39,'体验问卷大表'!C40)</ns0:f>
        <ns0:v>1</ns0:v>
      </ns0:c>
      <ns0:c r="D41" s="40" t="n">
        <ns0:f>SUM('体验问卷大表'!D36,'体验问卷大表'!D37,'体验问卷大表'!D38,'体验问卷大表'!D39,'体验问卷大表'!D40)</ns0:f>
        <ns0:v>0.9999999999999999</ns0:v>
      </ns0:c>
      <ns0:c r="E41" s="40" t="n">
        <ns0:f>SUM('体验问卷大表'!E36,'体验问卷大表'!E37,'体验问卷大表'!E38,'体验问卷大表'!E39,'体验问卷大表'!E40)</ns0:f>
        <ns0:v>1</ns0:v>
      </ns0:c>
      <ns0:c r="F41" s="40" t="n">
        <ns0:f>SUM('体验问卷大表'!F36,'体验问卷大表'!F37,'体验问卷大表'!F38,'体验问卷大表'!F39,'体验问卷大表'!F40)</ns0:f>
        <ns0:v>1</ns0:v>
      </ns0:c>
      <ns0:c r="G41" s="45" t="n">
        <ns0:f>SUM('体验问卷大表'!G36,'体验问卷大表'!G37,'体验问卷大表'!G38,'体验问卷大表'!G39,'体验问卷大表'!G40)</ns0:f>
        <ns0:v>1</ns0:v>
      </ns0:c>
      <ns0:c r="H41" s="40" t="n">
        <ns0:f>SUM('体验问卷大表'!H36,'体验问卷大表'!H37,'体验问卷大表'!H38,'体验问卷大表'!H39,'体验问卷大表'!H40)</ns0:f>
        <ns0:v>0.9999999999999999</ns0:v>
      </ns0:c>
      <ns0:c r="I41" s="45" t="n">
        <ns0:f>SUM('体验问卷大表'!I36,'体验问卷大表'!I37,'体验问卷大表'!I38,'体验问卷大表'!I39,'体验问卷大表'!I40)</ns0:f>
        <ns0:v>1</ns0:v>
      </ns0:c>
      <ns0:c r="J41" s="40" t="n">
        <ns0:f>SUM('体验问卷大表'!J36,'体验问卷大表'!J37,'体验问卷大表'!J38,'体验问卷大表'!J39,'体验问卷大表'!J40)</ns0:f>
        <ns0:v>1</ns0:v>
      </ns0:c>
      <ns0:c r="K41" s="45" t="n">
        <ns0:f>SUM('体验问卷大表'!K36,'体验问卷大表'!K37,'体验问卷大表'!K38,'体验问卷大表'!K39,'体验问卷大表'!K40)</ns0:f>
        <ns0:v>1</ns0:v>
      </ns0:c>
      <ns0:c r="L41" s="40" t="n">
        <ns0:f>SUM('体验问卷大表'!L36,'体验问卷大表'!L37,'体验问卷大表'!L38,'体验问卷大表'!L39,'体验问卷大表'!L40)</ns0:f>
        <ns0:v>1</ns0:v>
      </ns0:c>
      <ns0:c r="M41" s="45" t="n">
        <ns0:f>SUM('体验问卷大表'!M36,'体验问卷大表'!M37,'体验问卷大表'!M38,'体验问卷大表'!M39,'体验问卷大表'!M40)</ns0:f>
        <ns0:v>1</ns0:v>
      </ns0:c>
      <ns0:c r="N41" s="40" t="n">
        <ns0:f>SUM('体验问卷大表'!N36,'体验问卷大表'!N37,'体验问卷大表'!N38,'体验问卷大表'!N39,'体验问卷大表'!N40)</ns0:f>
        <ns0:v>1</ns0:v>
      </ns0:c>
      <ns0:c r="O41" s="45" t="n">
        <ns0:f>SUM('体验问卷大表'!O36,'体验问卷大表'!O37,'体验问卷大表'!O38,'体验问卷大表'!O39,'体验问卷大表'!O40)</ns0:f>
        <ns0:v>1</ns0:v>
      </ns0:c>
      <ns0:c r="P41" s="40" t="n">
        <ns0:f>SUM('体验问卷大表'!P36,'体验问卷大表'!P37,'体验问卷大表'!P38,'体验问卷大表'!P39,'体验问卷大表'!P40)</ns0:f>
        <ns0:v>0.9999999999999999</ns0:v>
      </ns0:c>
    </ns0:row>
    <ns0:row r="44" ht="24" customHeight="1">
      <ns0:c r="A44" s="17" t="str">
        <ns0:v>上手表现</ns0:v>
      </ns0:c>
      <ns0:c r="B44" s="18" t="str">
        <ns0:v>返回目录</ns0:v>
      </ns0:c>
      <ns0:c r="C44" s="17"/>
      <ns0:c r="D44" s="17"/>
      <ns0:c r="E44" s="17"/>
      <ns0:c r="F44" s="17"/>
      <ns0:c r="G44" s="17"/>
      <ns0:c r="H44" s="17"/>
      <ns0:c r="I44" s="17"/>
      <ns0:c r="J44" s="17"/>
      <ns0:c r="K44" s="17"/>
      <ns0:c r="L44" s="17"/>
      <ns0:c r="M44" s="17"/>
      <ns0:c r="N44" s="17"/>
      <ns0:c r="O44" s="17"/>
      <ns0:c r="P44" s="17"/>
    </ns0:row>
    <ns0:row r="45" ht="22" customHeight="1">
      <ns0:c r="A45" s="10" t="str">
        <ns0:v>分组族</ns0:v>
      </ns0:c>
      <ns0:c r="B45" s="11" t="str">
        <ns0:v>总体</ns0:v>
      </ns0:c>
      <ns0:c r="C45" s="41" t="str">
        <ns0:v>玩家经验互斥</ns0:v>
      </ns0:c>
      <ns0:c r="D45" s="12"/>
      <ns0:c r="E45" s="12"/>
      <ns0:c r="F45" s="12"/>
      <ns0:c r="G45" s="46" t="str">
        <ns0:v>参与平台</ns0:v>
      </ns0:c>
      <ns0:c r="H45" s="13"/>
      <ns0:c r="I45" s="48" t="str">
        <ns0:v>满意度分层</ns0:v>
      </ns0:c>
      <ns0:c r="J45" s="14"/>
      <ns0:c r="K45" s="48" t="str">
        <ns0:v>上手表现分层</ns0:v>
      </ns0:c>
      <ns0:c r="L45" s="14"/>
      <ns0:c r="M45" s="48" t="str">
        <ns0:v>继续游玩分层</ns0:v>
      </ns0:c>
      <ns0:c r="N45" s="14"/>
      <ns0:c r="O45" s="48" t="str">
        <ns0:v>推荐意愿分层</ns0:v>
      </ns0:c>
      <ns0:c r="P45" s="14"/>
    </ns0:row>
    <ns0:row r="46" ht="44" customHeight="1">
      <ns0:c r="A46" s="10" t="str">
        <ns0:v>选项 / 指标</ns0:v>
      </ns0:c>
      <ns0:c r="B46" s="11" t="str">
        <ns0:v>Total</ns0:v>
      </ns0:c>
      <ns0:c r="C46" s="41" t="str">
        <ns0:v>横版动作核心</ns0:v>
      </ns0:c>
      <ns0:c r="D46" s="12" t="str">
        <ns0:v>二游ARPG</ns0:v>
      </ns0:c>
      <ns0:c r="E46" s="12" t="str">
        <ns0:v>银河恶魔城</ns0:v>
      </ns0:c>
      <ns0:c r="F46" s="12" t="str">
        <ns0:v>泛用户</ns0:v>
      </ns0:c>
      <ns0:c r="G46" s="46" t="str">
        <ns0:v>移动端</ns0:v>
      </ns0:c>
      <ns0:c r="H46" s="13" t="str">
        <ns0:v>PC/主机</ns0:v>
      </ns0:c>
      <ns0:c r="I46" s="48" t="str">
        <ns0:v>高满意（4–5分）</ns0:v>
      </ns0:c>
      <ns0:c r="J46" s="14" t="str">
        <ns0:v>非高满意（1–3分）</ns0:v>
      </ns0:c>
      <ns0:c r="K46" s="48" t="str">
        <ns0:v>容易上手（4–5分） ‡</ns0:v>
      </ns0:c>
      <ns0:c r="L46" s="14" t="str">
        <ns0:v>非容易上手（1–3分） ‡</ns0:v>
      </ns0:c>
      <ns0:c r="M46" s="48" t="str">
        <ns0:v>高意愿（4–5分）</ns0:v>
      </ns0:c>
      <ns0:c r="N46" s="14" t="str">
        <ns0:v>非高意愿（1–3分）</ns0:v>
      </ns0:c>
      <ns0:c r="O46" s="48" t="str">
        <ns0:v>推荐者（9–10分）</ns0:v>
      </ns0:c>
      <ns0:c r="P46" s="14" t="str">
        <ns0:v>非推荐者（0–8分）</ns0:v>
      </ns0:c>
    </ns0:row>
    <ns0:row r="47">
      <ns0:c r="A47" s="20" t="str">
        <ns0:v>基数（n）：有效回答该题</ns0:v>
      </ns0:c>
      <ns0:c r="B47" s="21" t="n">
        <ns0:v>174</ns0:v>
      </ns0:c>
      <ns0:c r="C47" s="42" t="n">
        <ns0:v>59</ns0:v>
      </ns0:c>
      <ns0:c r="D47" s="21" t="n">
        <ns0:v>56</ns0:v>
      </ns0:c>
      <ns0:c r="E47" s="22" t="n">
        <ns0:v>24</ns0:v>
      </ns0:c>
      <ns0:c r="F47" s="21" t="n">
        <ns0:v>35</ns0:v>
      </ns0:c>
      <ns0:c r="G47" s="42" t="n">
        <ns0:v>98</ns0:v>
      </ns0:c>
      <ns0:c r="H47" s="21" t="n">
        <ns0:v>76</ns0:v>
      </ns0:c>
      <ns0:c r="I47" s="42" t="n">
        <ns0:v>88</ns0:v>
      </ns0:c>
      <ns0:c r="J47" s="21" t="n">
        <ns0:v>86</ns0:v>
      </ns0:c>
      <ns0:c r="K47" s="42" t="n">
        <ns0:v>75</ns0:v>
      </ns0:c>
      <ns0:c r="L47" s="21" t="n">
        <ns0:v>99</ns0:v>
      </ns0:c>
      <ns0:c r="M47" s="42" t="n">
        <ns0:v>56</ns0:v>
      </ns0:c>
      <ns0:c r="N47" s="21" t="n">
        <ns0:v>118</ns0:v>
      </ns0:c>
      <ns0:c r="O47" s="42" t="n">
        <ns0:v>58</ns0:v>
      </ns0:c>
      <ns0:c r="P47" s="21" t="n">
        <ns0:v>111</ns0:v>
      </ns0:c>
    </ns0:row>
    <ns0:row r="48" ht="26" customHeight="1">
      <ns0:c r="A48" s="25" t="str">
        <ns0:v>[Q4].你认为游戏是否容易上手？</ns0:v>
      </ns0:c>
      <ns0:c r="B48" s="25"/>
      <ns0:c r="C48" s="43"/>
      <ns0:c r="D48" s="25"/>
      <ns0:c r="E48" s="25"/>
      <ns0:c r="F48" s="25"/>
      <ns0:c r="G48" s="43"/>
      <ns0:c r="H48" s="25"/>
      <ns0:c r="I48" s="43"/>
      <ns0:c r="J48" s="25"/>
      <ns0:c r="K48" s="43"/>
      <ns0:c r="L48" s="25"/>
      <ns0:c r="M48" s="43"/>
      <ns0:c r="N48" s="25"/>
      <ns0:c r="O48" s="43"/>
      <ns0:c r="P48" s="25"/>
    </ns0:row>
    <ns0:row r="49" ht="22" customHeight="1">
      <ns0:c r="A49" s="53" t="str">
        <ns0:v>Mean ↑</ns0:v>
      </ns0:c>
      <ns0:c r="B49" s="56" t="n">
        <ns0:v>3.3505747126436782</ns0:v>
      </ns0:c>
      <ns0:c r="C49" s="66" t="n">
        <ns0:v>3.864406779661017</ns0:v>
      </ns0:c>
      <ns0:c r="D49" s="57" t="n">
        <ns0:v>3.0892857142857144</ns0:v>
      </ns0:c>
      <ns0:c r="E49" s="59" t="n">
        <ns0:v>3.0833333333333335</ns0:v>
      </ns0:c>
      <ns0:c r="F49" s="57" t="n">
        <ns0:v>3.085714285714286</ns0:v>
      </ns0:c>
      <ns0:c r="G49" s="69" t="n">
        <ns0:v>3.4489795918367347</ns0:v>
      </ns0:c>
      <ns0:c r="H49" s="57" t="n">
        <ns0:v>3.223684210526316</ns0:v>
      </ns0:c>
      <ns0:c r="I49" s="69" t="n">
        <ns0:v>3.4431818181818183</ns0:v>
      </ns0:c>
      <ns0:c r="J49" s="57" t="n">
        <ns0:v>3.255813953488372</ns0:v>
      </ns0:c>
      <ns0:c r="K49" s="66" t="n">
        <ns0:v>4.213333333333333</ns0:v>
      </ns0:c>
      <ns0:c r="L49" s="57" t="n">
        <ns0:v>2.696969696969697</ns0:v>
      </ns0:c>
      <ns0:c r="M49" s="69" t="n">
        <ns0:v>3.5</ns0:v>
      </ns0:c>
      <ns0:c r="N49" s="57" t="n">
        <ns0:v>3.2796610169491527</ns0:v>
      </ns0:c>
      <ns0:c r="O49" s="69" t="n">
        <ns0:v>3.4655172413793105</ns0:v>
      </ns0:c>
      <ns0:c r="P49" s="57" t="n">
        <ns0:v>3.2972972972972974</ns0:v>
      </ns0:c>
    </ns0:row>
    <ns0:row r="50" ht="22" customHeight="1">
      <ns0:c r="A50" s="53" t="str">
        <ns0:v>【指标】T2B（4–5分） ↑</ns0:v>
      </ns0:c>
      <ns0:c r="B50" s="61" t="n">
        <ns0:v>0.43103448275862066</ns0:v>
      </ns0:c>
      <ns0:c r="C50" s="67" t="n">
        <ns0:v>0.6610169491525424</ns0:v>
      </ns0:c>
      <ns0:c r="D50" s="62" t="n">
        <ns0:v>0.32142857142857145</ns0:v>
      </ns0:c>
      <ns0:c r="E50" s="64" t="n">
        <ns0:v>0.2916666666666667</ns0:v>
      </ns0:c>
      <ns0:c r="F50" s="62" t="n">
        <ns0:v>0.3142857142857143</ns0:v>
      </ns0:c>
      <ns0:c r="G50" s="67" t="n">
        <ns0:v>0.4897959183673469</ns0:v>
      </ns0:c>
      <ns0:c r="H50" s="62" t="n">
        <ns0:v>0.35526315789473684</ns0:v>
      </ns0:c>
      <ns0:c r="I50" s="68" t="n">
        <ns0:v>0.4318181818181818</ns0:v>
      </ns0:c>
      <ns0:c r="J50" s="62" t="n">
        <ns0:v>0.43023255813953487</ns0:v>
      </ns0:c>
      <ns0:c r="K50" s="67" t="n">
        <ns0:v>1</ns0:v>
      </ns0:c>
      <ns0:c r="L50" s="62" t="n">
        <ns0:v>0</ns0:v>
      </ns0:c>
      <ns0:c r="M50" s="68" t="n">
        <ns0:v>0.44642857142857145</ns0:v>
      </ns0:c>
      <ns0:c r="N50" s="62" t="n">
        <ns0:v>0.423728813559322</ns0:v>
      </ns0:c>
      <ns0:c r="O50" s="68" t="n">
        <ns0:v>0.4482758620689655</ns0:v>
      </ns0:c>
      <ns0:c r="P50" s="62" t="n">
        <ns0:v>0.42342342342342343</ns0:v>
      </ns0:c>
    </ns0:row>
    <ns0:row r="51" ht="22" customHeight="1">
      <ns0:c r="A51" s="53" t="str">
        <ns0:v>【指标】B2B（1–2分） ↓</ns0:v>
      </ns0:c>
      <ns0:c r="B51" s="61" t="n">
        <ns0:v>0.16091954022988506</ns0:v>
      </ns0:c>
      <ns0:c r="C51" s="68" t="n">
        <ns0:v>0.03389830508474576</ns0:v>
      </ns0:c>
      <ns0:c r="D51" s="63" t="n">
        <ns0:v>0.23214285714285715</ns0:v>
      </ns0:c>
      <ns0:c r="E51" s="65" t="n">
        <ns0:v>0.25</ns0:v>
      </ns0:c>
      <ns0:c r="F51" s="63" t="n">
        <ns0:v>0.2</ns0:v>
      </ns0:c>
      <ns0:c r="G51" s="68" t="n">
        <ns0:v>0.1326530612244898</ns0:v>
      </ns0:c>
      <ns0:c r="H51" s="62" t="n">
        <ns0:v>0.19736842105263158</ns0:v>
      </ns0:c>
      <ns0:c r="I51" s="68" t="n">
        <ns0:v>0.11363636363636363</ns0:v>
      </ns0:c>
      <ns0:c r="J51" s="63" t="n">
        <ns0:v>0.20930232558139536</ns0:v>
      </ns0:c>
      <ns0:c r="K51" s="68" t="n">
        <ns0:v>0</ns0:v>
      </ns0:c>
      <ns0:c r="L51" s="63" t="n">
        <ns0:v>0.2828282828282828</ns0:v>
      </ns0:c>
      <ns0:c r="M51" s="68" t="n">
        <ns0:v>0.08928571428571429</ns0:v>
      </ns0:c>
      <ns0:c r="N51" s="63" t="n">
        <ns0:v>0.19491525423728814</ns0:v>
      </ns0:c>
      <ns0:c r="O51" s="68" t="n">
        <ns0:v>0.08620689655172414</ns0:v>
      </ns0:c>
      <ns0:c r="P51" s="62" t="n">
        <ns0:v>0.18018018018018017</ns0:v>
      </ns0:c>
    </ns0:row>
    <ns0:row r="52" ht="22" customHeight="1">
      <ns0:c r="A52" s="26" t="str">
        <ns0:v>非常难</ns0:v>
      </ns0:c>
      <ns0:c r="B52" s="28" t="n">
        <ns0:v>0.011494252873563218</ns0:v>
      </ns0:c>
      <ns0:c r="C52" s="44" t="n">
        <ns0:v>0</ns0:v>
      </ns0:c>
      <ns0:c r="D52" s="29" t="n">
        <ns0:v>0</ns0:v>
      </ns0:c>
      <ns0:c r="E52" s="31" t="n">
        <ns0:v>0</ns0:v>
      </ns0:c>
      <ns0:c r="F52" s="30" t="n">
        <ns0:v>0.05714285714285714</ns0:v>
      </ns0:c>
      <ns0:c r="G52" s="44" t="n">
        <ns0:v>0</ns0:v>
      </ns0:c>
      <ns0:c r="H52" s="29" t="n">
        <ns0:v>0.02631578947368421</ns0:v>
      </ns0:c>
      <ns0:c r="I52" s="44" t="n">
        <ns0:v>0</ns0:v>
      </ns0:c>
      <ns0:c r="J52" s="29" t="n">
        <ns0:v>0.023255813953488372</ns0:v>
      </ns0:c>
      <ns0:c r="K52" s="44" t="n">
        <ns0:v>0</ns0:v>
      </ns0:c>
      <ns0:c r="L52" s="29" t="n">
        <ns0:v>0.020202020202020204</ns0:v>
      </ns0:c>
      <ns0:c r="M52" s="44" t="n">
        <ns0:v>0</ns0:v>
      </ns0:c>
      <ns0:c r="N52" s="29" t="n">
        <ns0:v>0.01694915254237288</ns0:v>
      </ns0:c>
      <ns0:c r="O52" s="44" t="n">
        <ns0:v>0</ns0:v>
      </ns0:c>
      <ns0:c r="P52" s="29" t="n">
        <ns0:v>0.018018018018018018</ns0:v>
      </ns0:c>
    </ns0:row>
    <ns0:row r="53" ht="22" customHeight="1">
      <ns0:c r="A53" s="26" t="str">
        <ns0:v>比较难</ns0:v>
      </ns0:c>
      <ns0:c r="B53" s="28" t="n">
        <ns0:v>0.14942528735632185</ns0:v>
      </ns0:c>
      <ns0:c r="C53" s="44" t="n">
        <ns0:v>0.03389830508474576</ns0:v>
      </ns0:c>
      <ns0:c r="D53" s="30" t="n">
        <ns0:v>0.23214285714285715</ns0:v>
      </ns0:c>
      <ns0:c r="E53" s="32" t="n">
        <ns0:v>0.25</ns0:v>
      </ns0:c>
      <ns0:c r="F53" s="30" t="n">
        <ns0:v>0.14285714285714285</ns0:v>
      </ns0:c>
      <ns0:c r="G53" s="44" t="n">
        <ns0:v>0.1326530612244898</ns0:v>
      </ns0:c>
      <ns0:c r="H53" s="29" t="n">
        <ns0:v>0.17105263157894737</ns0:v>
      </ns0:c>
      <ns0:c r="I53" s="44" t="n">
        <ns0:v>0.11363636363636363</ns0:v>
      </ns0:c>
      <ns0:c r="J53" s="29" t="n">
        <ns0:v>0.18604651162790697</ns0:v>
      </ns0:c>
      <ns0:c r="K53" s="44" t="n">
        <ns0:v>0</ns0:v>
      </ns0:c>
      <ns0:c r="L53" s="30" t="n">
        <ns0:v>0.26262626262626265</ns0:v>
      </ns0:c>
      <ns0:c r="M53" s="44" t="n">
        <ns0:v>0.08928571428571429</ns0:v>
      </ns0:c>
      <ns0:c r="N53" s="29" t="n">
        <ns0:v>0.17796610169491525</ns0:v>
      </ns0:c>
      <ns0:c r="O53" s="44" t="n">
        <ns0:v>0.08620689655172414</ns0:v>
      </ns0:c>
      <ns0:c r="P53" s="29" t="n">
        <ns0:v>0.16216216216216217</ns0:v>
      </ns0:c>
    </ns0:row>
    <ns0:row r="54" ht="22" customHeight="1">
      <ns0:c r="A54" s="26" t="str">
        <ns0:v>一般</ns0:v>
      </ns0:c>
      <ns0:c r="B54" s="28" t="n">
        <ns0:v>0.40804597701149425</ns0:v>
      </ns0:c>
      <ns0:c r="C54" s="44" t="n">
        <ns0:v>0.3050847457627119</ns0:v>
      </ns0:c>
      <ns0:c r="D54" s="29" t="n">
        <ns0:v>0.44642857142857145</ns0:v>
      </ns0:c>
      <ns0:c r="E54" s="31" t="n">
        <ns0:v>0.4583333333333333</ns0:v>
      </ns0:c>
      <ns0:c r="F54" s="30" t="n">
        <ns0:v>0.4857142857142857</ns0:v>
      </ns0:c>
      <ns0:c r="G54" s="44" t="n">
        <ns0:v>0.37755102040816324</ns0:v>
      </ns0:c>
      <ns0:c r="H54" s="29" t="n">
        <ns0:v>0.4473684210526316</ns0:v>
      </ns0:c>
      <ns0:c r="I54" s="44" t="n">
        <ns0:v>0.45454545454545453</ns0:v>
      </ns0:c>
      <ns0:c r="J54" s="29" t="n">
        <ns0:v>0.36046511627906974</ns0:v>
      </ns0:c>
      <ns0:c r="K54" s="44" t="n">
        <ns0:v>0</ns0:v>
      </ns0:c>
      <ns0:c r="L54" s="30" t="n">
        <ns0:v>0.7171717171717171</ns0:v>
      </ns0:c>
      <ns0:c r="M54" s="44" t="n">
        <ns0:v>0.4642857142857143</ns0:v>
      </ns0:c>
      <ns0:c r="N54" s="29" t="n">
        <ns0:v>0.3813559322033898</ns0:v>
      </ns0:c>
      <ns0:c r="O54" s="44" t="n">
        <ns0:v>0.46551724137931033</ns0:v>
      </ns0:c>
      <ns0:c r="P54" s="29" t="n">
        <ns0:v>0.3963963963963964</ns0:v>
      </ns0:c>
    </ns0:row>
    <ns0:row r="55" ht="22" customHeight="1">
      <ns0:c r="A55" s="26" t="str">
        <ns0:v>比较容易</ns0:v>
      </ns0:c>
      <ns0:c r="B55" s="28" t="n">
        <ns0:v>0.3390804597701149</ns0:v>
      </ns0:c>
      <ns0:c r="C55" s="44" t="n">
        <ns0:v>0.423728813559322</ns0:v>
      </ns0:c>
      <ns0:c r="D55" s="29" t="n">
        <ns0:v>0.32142857142857145</ns0:v>
      </ns0:c>
      <ns0:c r="E55" s="31" t="n">
        <ns0:v>0.25</ns0:v>
      </ns0:c>
      <ns0:c r="F55" s="29" t="n">
        <ns0:v>0.2857142857142857</ns0:v>
      </ns0:c>
      <ns0:c r="G55" s="47" t="n">
        <ns0:v>0.3979591836734694</ns0:v>
      </ns0:c>
      <ns0:c r="H55" s="29" t="n">
        <ns0:v>0.2631578947368421</ns0:v>
      </ns0:c>
      <ns0:c r="I55" s="44" t="n">
        <ns0:v>0.3068181818181818</ns0:v>
      </ns0:c>
      <ns0:c r="J55" s="29" t="n">
        <ns0:v>0.37209302325581395</ns0:v>
      </ns0:c>
      <ns0:c r="K55" s="47" t="n">
        <ns0:v>0.7866666666666666</ns0:v>
      </ns0:c>
      <ns0:c r="L55" s="29" t="n">
        <ns0:v>0</ns0:v>
      </ns0:c>
      <ns0:c r="M55" s="44" t="n">
        <ns0:v>0.30357142857142855</ns0:v>
      </ns0:c>
      <ns0:c r="N55" s="29" t="n">
        <ns0:v>0.3559322033898305</ns0:v>
      </ns0:c>
      <ns0:c r="O55" s="44" t="n">
        <ns0:v>0.3448275862068966</ns0:v>
      </ns0:c>
      <ns0:c r="P55" s="29" t="n">
        <ns0:v>0.35135135135135137</ns0:v>
      </ns0:c>
    </ns0:row>
    <ns0:row r="56" ht="22" customHeight="1">
      <ns0:c r="A56" s="26" t="str">
        <ns0:v>非常容易</ns0:v>
      </ns0:c>
      <ns0:c r="B56" s="28" t="n">
        <ns0:v>0.09195402298850575</ns0:v>
      </ns0:c>
      <ns0:c r="C56" s="47" t="n">
        <ns0:v>0.23728813559322035</ns0:v>
      </ns0:c>
      <ns0:c r="D56" s="29" t="n">
        <ns0:v>0</ns0:v>
      </ns0:c>
      <ns0:c r="E56" s="31" t="n">
        <ns0:v>0.041666666666666664</ns0:v>
      </ns0:c>
      <ns0:c r="F56" s="29" t="n">
        <ns0:v>0.02857142857142857</ns0:v>
      </ns0:c>
      <ns0:c r="G56" s="44" t="n">
        <ns0:v>0.09183673469387756</ns0:v>
      </ns0:c>
      <ns0:c r="H56" s="29" t="n">
        <ns0:v>0.09210526315789473</ns0:v>
      </ns0:c>
      <ns0:c r="I56" s="44" t="n">
        <ns0:v>0.125</ns0:v>
      </ns0:c>
      <ns0:c r="J56" s="29" t="n">
        <ns0:v>0.05813953488372093</ns0:v>
      </ns0:c>
      <ns0:c r="K56" s="47" t="n">
        <ns0:v>0.21333333333333335</ns0:v>
      </ns0:c>
      <ns0:c r="L56" s="29" t="n">
        <ns0:v>0</ns0:v>
      </ns0:c>
      <ns0:c r="M56" s="44" t="n">
        <ns0:v>0.14285714285714285</ns0:v>
      </ns0:c>
      <ns0:c r="N56" s="29" t="n">
        <ns0:v>0.06779661016949153</ns0:v>
      </ns0:c>
      <ns0:c r="O56" s="44" t="n">
        <ns0:v>0.10344827586206896</ns0:v>
      </ns0:c>
      <ns0:c r="P56" s="29" t="n">
        <ns0:v>0.07207207207207207</ns0:v>
      </ns0:c>
    </ns0:row>
    <ns0:row r="57" ht="24" customHeight="1">
      <ns0:c r="A57" s="39" t="str">
        <ns0:v>Total</ns0:v>
      </ns0:c>
      <ns0:c r="B57" s="40" t="n">
        <ns0:f>SUM('体验问卷大表'!B52,'体验问卷大表'!B53,'体验问卷大表'!B54,'体验问卷大表'!B55,'体验问卷大表'!B56)</ns0:f>
        <ns0:v>1</ns0:v>
      </ns0:c>
      <ns0:c r="C57" s="45" t="n">
        <ns0:f>SUM('体验问卷大表'!C52,'体验问卷大表'!C53,'体验问卷大表'!C54,'体验问卷大表'!C55,'体验问卷大表'!C56)</ns0:f>
        <ns0:v>1</ns0:v>
      </ns0:c>
      <ns0:c r="D57" s="40" t="n">
        <ns0:f>SUM('体验问卷大表'!D52,'体验问卷大表'!D53,'体验问卷大表'!D54,'体验问卷大表'!D55,'体验问卷大表'!D56)</ns0:f>
        <ns0:v>1</ns0:v>
      </ns0:c>
      <ns0:c r="E57" s="40" t="n">
        <ns0:f>SUM('体验问卷大表'!E52,'体验问卷大表'!E53,'体验问卷大表'!E54,'体验问卷大表'!E55,'体验问卷大表'!E56)</ns0:f>
        <ns0:v>0.9999999999999999</ns0:v>
      </ns0:c>
      <ns0:c r="F57" s="40" t="n">
        <ns0:f>SUM('体验问卷大表'!F52,'体验问卷大表'!F53,'体验问卷大表'!F54,'体验问卷大表'!F55,'体验问卷大表'!F56)</ns0:f>
        <ns0:v>1</ns0:v>
      </ns0:c>
      <ns0:c r="G57" s="45" t="n">
        <ns0:f>SUM('体验问卷大表'!G52,'体验问卷大表'!G53,'体验问卷大表'!G54,'体验问卷大表'!G55,'体验问卷大表'!G56)</ns0:f>
        <ns0:v>1</ns0:v>
      </ns0:c>
      <ns0:c r="H57" s="40" t="n">
        <ns0:f>SUM('体验问卷大表'!H52,'体验问卷大表'!H53,'体验问卷大表'!H54,'体验问卷大表'!H55,'体验问卷大表'!H56)</ns0:f>
        <ns0:v>1</ns0:v>
      </ns0:c>
      <ns0:c r="I57" s="45" t="n">
        <ns0:f>SUM('体验问卷大表'!I52,'体验问卷大表'!I53,'体验问卷大表'!I54,'体验问卷大表'!I55,'体验问卷大表'!I56)</ns0:f>
        <ns0:v>1</ns0:v>
      </ns0:c>
      <ns0:c r="J57" s="40" t="n">
        <ns0:f>SUM('体验问卷大表'!J52,'体验问卷大表'!J53,'体验问卷大表'!J54,'体验问卷大表'!J55,'体验问卷大表'!J56)</ns0:f>
        <ns0:v>0.9999999999999999</ns0:v>
      </ns0:c>
      <ns0:c r="K57" s="45" t="n">
        <ns0:f>SUM('体验问卷大表'!K52,'体验问卷大表'!K53,'体验问卷大表'!K54,'体验问卷大表'!K55,'体验问卷大表'!K56)</ns0:f>
        <ns0:v>1</ns0:v>
      </ns0:c>
      <ns0:c r="L57" s="40" t="n">
        <ns0:f>SUM('体验问卷大表'!L52,'体验问卷大表'!L53,'体验问卷大表'!L54,'体验问卷大表'!L55,'体验问卷大表'!L56)</ns0:f>
        <ns0:v>1</ns0:v>
      </ns0:c>
      <ns0:c r="M57" s="45" t="n">
        <ns0:f>SUM('体验问卷大表'!M52,'体验问卷大表'!M53,'体验问卷大表'!M54,'体验问卷大表'!M55,'体验问卷大表'!M56)</ns0:f>
        <ns0:v>1</ns0:v>
      </ns0:c>
      <ns0:c r="N57" s="40" t="n">
        <ns0:f>SUM('体验问卷大表'!N52,'体验问卷大表'!N53,'体验问卷大表'!N54,'体验问卷大表'!N55,'体验问卷大表'!N56)</ns0:f>
        <ns0:v>1</ns0:v>
      </ns0:c>
      <ns0:c r="O57" s="45" t="n">
        <ns0:f>SUM('体验问卷大表'!O52,'体验问卷大表'!O53,'体验问卷大表'!O54,'体验问卷大表'!O55,'体验问卷大表'!O56)</ns0:f>
        <ns0:v>1</ns0:v>
      </ns0:c>
      <ns0:c r="P57" s="40" t="n">
        <ns0:f>SUM('体验问卷大表'!P52,'体验问卷大表'!P53,'体验问卷大表'!P54,'体验问卷大表'!P55,'体验问卷大表'!P56)</ns0:f>
        <ns0:v>1</ns0:v>
      </ns0:c>
    </ns0:row>
    <ns0:row r="60" ht="24" customHeight="1">
      <ns0:c r="A60" s="17" t="str">
        <ns0:v>继续游玩意愿</ns0:v>
      </ns0:c>
      <ns0:c r="B60" s="18" t="str">
        <ns0:v>返回目录</ns0:v>
      </ns0:c>
      <ns0:c r="C60" s="17"/>
      <ns0:c r="D60" s="17"/>
      <ns0:c r="E60" s="17"/>
      <ns0:c r="F60" s="17"/>
      <ns0:c r="G60" s="17"/>
      <ns0:c r="H60" s="17"/>
      <ns0:c r="I60" s="17"/>
      <ns0:c r="J60" s="17"/>
      <ns0:c r="K60" s="17"/>
      <ns0:c r="L60" s="17"/>
      <ns0:c r="M60" s="17"/>
      <ns0:c r="N60" s="17"/>
      <ns0:c r="O60" s="17"/>
      <ns0:c r="P60" s="17"/>
    </ns0:row>
    <ns0:row r="61" ht="22" customHeight="1">
      <ns0:c r="A61" s="10" t="str">
        <ns0:v>分组族</ns0:v>
      </ns0:c>
      <ns0:c r="B61" s="11" t="str">
        <ns0:v>总体</ns0:v>
      </ns0:c>
      <ns0:c r="C61" s="41" t="str">
        <ns0:v>玩家经验互斥</ns0:v>
      </ns0:c>
      <ns0:c r="D61" s="12"/>
      <ns0:c r="E61" s="12"/>
      <ns0:c r="F61" s="12"/>
      <ns0:c r="G61" s="46" t="str">
        <ns0:v>参与平台</ns0:v>
      </ns0:c>
      <ns0:c r="H61" s="13"/>
      <ns0:c r="I61" s="48" t="str">
        <ns0:v>满意度分层</ns0:v>
      </ns0:c>
      <ns0:c r="J61" s="14"/>
      <ns0:c r="K61" s="48" t="str">
        <ns0:v>上手表现分层</ns0:v>
      </ns0:c>
      <ns0:c r="L61" s="14"/>
      <ns0:c r="M61" s="48" t="str">
        <ns0:v>继续游玩分层</ns0:v>
      </ns0:c>
      <ns0:c r="N61" s="14"/>
      <ns0:c r="O61" s="48" t="str">
        <ns0:v>推荐意愿分层</ns0:v>
      </ns0:c>
      <ns0:c r="P61" s="14"/>
    </ns0:row>
    <ns0:row r="62" ht="44" customHeight="1">
      <ns0:c r="A62" s="10" t="str">
        <ns0:v>选项 / 指标</ns0:v>
      </ns0:c>
      <ns0:c r="B62" s="11" t="str">
        <ns0:v>Total</ns0:v>
      </ns0:c>
      <ns0:c r="C62" s="41" t="str">
        <ns0:v>横版动作核心</ns0:v>
      </ns0:c>
      <ns0:c r="D62" s="12" t="str">
        <ns0:v>二游ARPG</ns0:v>
      </ns0:c>
      <ns0:c r="E62" s="12" t="str">
        <ns0:v>银河恶魔城</ns0:v>
      </ns0:c>
      <ns0:c r="F62" s="12" t="str">
        <ns0:v>泛用户</ns0:v>
      </ns0:c>
      <ns0:c r="G62" s="46" t="str">
        <ns0:v>移动端</ns0:v>
      </ns0:c>
      <ns0:c r="H62" s="13" t="str">
        <ns0:v>PC/主机</ns0:v>
      </ns0:c>
      <ns0:c r="I62" s="48" t="str">
        <ns0:v>高满意（4–5分）</ns0:v>
      </ns0:c>
      <ns0:c r="J62" s="14" t="str">
        <ns0:v>非高满意（1–3分）</ns0:v>
      </ns0:c>
      <ns0:c r="K62" s="48" t="str">
        <ns0:v>容易上手（4–5分）</ns0:v>
      </ns0:c>
      <ns0:c r="L62" s="14" t="str">
        <ns0:v>非容易上手（1–3分）</ns0:v>
      </ns0:c>
      <ns0:c r="M62" s="48" t="str">
        <ns0:v>高意愿（4–5分） ‡</ns0:v>
      </ns0:c>
      <ns0:c r="N62" s="14" t="str">
        <ns0:v>非高意愿（1–3分） ‡</ns0:v>
      </ns0:c>
      <ns0:c r="O62" s="48" t="str">
        <ns0:v>推荐者（9–10分）</ns0:v>
      </ns0:c>
      <ns0:c r="P62" s="14" t="str">
        <ns0:v>非推荐者（0–8分）</ns0:v>
      </ns0:c>
    </ns0:row>
    <ns0:row r="63">
      <ns0:c r="A63" s="20" t="str">
        <ns0:v>基数（n）：有效回答该题</ns0:v>
      </ns0:c>
      <ns0:c r="B63" s="21" t="n">
        <ns0:v>180</ns0:v>
      </ns0:c>
      <ns0:c r="C63" s="42" t="n">
        <ns0:v>61</ns0:v>
      </ns0:c>
      <ns0:c r="D63" s="21" t="n">
        <ns0:v>57</ns0:v>
      </ns0:c>
      <ns0:c r="E63" s="22" t="n">
        <ns0:v>25</ns0:v>
      </ns0:c>
      <ns0:c r="F63" s="21" t="n">
        <ns0:v>37</ns0:v>
      </ns0:c>
      <ns0:c r="G63" s="42" t="n">
        <ns0:v>101</ns0:v>
      </ns0:c>
      <ns0:c r="H63" s="21" t="n">
        <ns0:v>79</ns0:v>
      </ns0:c>
      <ns0:c r="I63" s="42" t="n">
        <ns0:v>91</ns0:v>
      </ns0:c>
      <ns0:c r="J63" s="21" t="n">
        <ns0:v>89</ns0:v>
      </ns0:c>
      <ns0:c r="K63" s="42" t="n">
        <ns0:v>75</ns0:v>
      </ns0:c>
      <ns0:c r="L63" s="21" t="n">
        <ns0:v>99</ns0:v>
      </ns0:c>
      <ns0:c r="M63" s="42" t="n">
        <ns0:v>58</ns0:v>
      </ns0:c>
      <ns0:c r="N63" s="21" t="n">
        <ns0:v>122</ns0:v>
      </ns0:c>
      <ns0:c r="O63" s="42" t="n">
        <ns0:v>61</ns0:v>
      </ns0:c>
      <ns0:c r="P63" s="21" t="n">
        <ns0:v>114</ns0:v>
      </ns0:c>
    </ns0:row>
    <ns0:row r="64" ht="26" customHeight="1">
      <ns0:c r="A64" s="25" t="str">
        <ns0:v>[Q5].正式上线后，你继续游玩的意愿如何？</ns0:v>
      </ns0:c>
      <ns0:c r="B64" s="25"/>
      <ns0:c r="C64" s="43"/>
      <ns0:c r="D64" s="25"/>
      <ns0:c r="E64" s="25"/>
      <ns0:c r="F64" s="25"/>
      <ns0:c r="G64" s="43"/>
      <ns0:c r="H64" s="25"/>
      <ns0:c r="I64" s="43"/>
      <ns0:c r="J64" s="25"/>
      <ns0:c r="K64" s="43"/>
      <ns0:c r="L64" s="25"/>
      <ns0:c r="M64" s="43"/>
      <ns0:c r="N64" s="25"/>
      <ns0:c r="O64" s="43"/>
      <ns0:c r="P64" s="25"/>
    </ns0:row>
    <ns0:row r="65" ht="22" customHeight="1">
      <ns0:c r="A65" s="53" t="str">
        <ns0:v>Mean ↑</ns0:v>
      </ns0:c>
      <ns0:c r="B65" s="56" t="n">
        <ns0:v>3.1055555555555556</ns0:v>
      </ns0:c>
      <ns0:c r="C65" s="66" t="n">
        <ns0:v>3.4918032786885247</ns0:v>
      </ns0:c>
      <ns0:c r="D65" s="58" t="n">
        <ns0:v>3</ns0:v>
      </ns0:c>
      <ns0:c r="E65" s="60" t="n">
        <ns0:v>3.12</ns0:v>
      </ns0:c>
      <ns0:c r="F65" s="57" t="n">
        <ns0:v>2.6216216216216215</ns0:v>
      </ns0:c>
      <ns0:c r="G65" s="69" t="n">
        <ns0:v>3.1683168316831685</ns0:v>
      </ns0:c>
      <ns0:c r="H65" s="57" t="n">
        <ns0:v>3.0253164556962027</ns0:v>
      </ns0:c>
      <ns0:c r="I65" s="66" t="n">
        <ns0:v>3.4615384615384617</ns0:v>
      </ns0:c>
      <ns0:c r="J65" s="57" t="n">
        <ns0:v>2.741573033707865</ns0:v>
      </ns0:c>
      <ns0:c r="K65" s="66" t="n">
        <ns0:v>3.2933333333333334</ns0:v>
      </ns0:c>
      <ns0:c r="L65" s="57" t="n">
        <ns0:v>2.9696969696969697</ns0:v>
      </ns0:c>
      <ns0:c r="M65" s="66" t="n">
        <ns0:v>4.206896551724138</ns0:v>
      </ns0:c>
      <ns0:c r="N65" s="57" t="n">
        <ns0:v>2.581967213114754</ns0:v>
      </ns0:c>
      <ns0:c r="O65" s="66" t="n">
        <ns0:v>3.5245901639344264</ns0:v>
      </ns0:c>
      <ns0:c r="P65" s="57" t="n">
        <ns0:v>2.9035087719298245</ns0:v>
      </ns0:c>
    </ns0:row>
    <ns0:row r="66" ht="22" customHeight="1">
      <ns0:c r="A66" s="53" t="str">
        <ns0:v>【指标】T2B（4–5分） ↑</ns0:v>
      </ns0:c>
      <ns0:c r="B66" s="61" t="n">
        <ns0:v>0.32222222222222224</ns0:v>
      </ns0:c>
      <ns0:c r="C66" s="67" t="n">
        <ns0:v>0.4426229508196721</ns0:v>
      </ns0:c>
      <ns0:c r="D66" s="62" t="n">
        <ns0:v>0.2807017543859649</ns0:v>
      </ns0:c>
      <ns0:c r="E66" s="65" t="n">
        <ns0:v>0.36</ns0:v>
      </ns0:c>
      <ns0:c r="F66" s="62" t="n">
        <ns0:v>0.16216216216216217</ns0:v>
      </ns0:c>
      <ns0:c r="G66" s="68" t="n">
        <ns0:v>0.3564356435643564</ns0:v>
      </ns0:c>
      <ns0:c r="H66" s="62" t="n">
        <ns0:v>0.27848101265822783</ns0:v>
      </ns0:c>
      <ns0:c r="I66" s="67" t="n">
        <ns0:v>0.4725274725274725</ns0:v>
      </ns0:c>
      <ns0:c r="J66" s="62" t="n">
        <ns0:v>0.16853932584269662</ns0:v>
      </ns0:c>
      <ns0:c r="K66" s="68" t="n">
        <ns0:v>0.3333333333333333</ns0:v>
      </ns0:c>
      <ns0:c r="L66" s="62" t="n">
        <ns0:v>0.31313131313131315</ns0:v>
      </ns0:c>
      <ns0:c r="M66" s="67" t="n">
        <ns0:v>1</ns0:v>
      </ns0:c>
      <ns0:c r="N66" s="62" t="n">
        <ns0:v>0</ns0:v>
      </ns0:c>
      <ns0:c r="O66" s="67" t="n">
        <ns0:v>0.5409836065573771</ns0:v>
      </ns0:c>
      <ns0:c r="P66" s="62" t="n">
        <ns0:v>0.21052631578947367</ns0:v>
      </ns0:c>
    </ns0:row>
    <ns0:row r="67" ht="22" customHeight="1">
      <ns0:c r="A67" s="53" t="str">
        <ns0:v>【指标】B2B（1–2分） ↓</ns0:v>
      </ns0:c>
      <ns0:c r="B67" s="61" t="n">
        <ns0:v>0.2388888888888889</ns0:v>
      </ns0:c>
      <ns0:c r="C67" s="68" t="n">
        <ns0:v>0.08196721311475409</ns0:v>
      </ns0:c>
      <ns0:c r="D67" s="63" t="n">
        <ns0:v>0.2807017543859649</ns0:v>
      </ns0:c>
      <ns0:c r="E67" s="65" t="n">
        <ns0:v>0.28</ns0:v>
      </ns0:c>
      <ns0:c r="F67" s="63" t="n">
        <ns0:v>0.40540540540540543</ns0:v>
      </ns0:c>
      <ns0:c r="G67" s="68" t="n">
        <ns0:v>0.21782178217821782</ns0:v>
      </ns0:c>
      <ns0:c r="H67" s="62" t="n">
        <ns0:v>0.26582278481012656</ns0:v>
      </ns0:c>
      <ns0:c r="I67" s="68" t="n">
        <ns0:v>0.14285714285714285</ns0:v>
      </ns0:c>
      <ns0:c r="J67" s="63" t="n">
        <ns0:v>0.33707865168539325</ns0:v>
      </ns0:c>
      <ns0:c r="K67" s="68" t="n">
        <ns0:v>0.10666666666666667</ns0:v>
      </ns0:c>
      <ns0:c r="L67" s="63" t="n">
        <ns0:v>0.3333333333333333</ns0:v>
      </ns0:c>
      <ns0:c r="M67" s="68" t="n">
        <ns0:v>0</ns0:v>
      </ns0:c>
      <ns0:c r="N67" s="63" t="n">
        <ns0:v>0.3524590163934426</ns0:v>
      </ns0:c>
      <ns0:c r="O67" s="68" t="n">
        <ns0:v>0.14754098360655737</ns0:v>
      </ns0:c>
      <ns0:c r="P67" s="63" t="n">
        <ns0:v>0.2719298245614035</ns0:v>
      </ns0:c>
    </ns0:row>
    <ns0:row r="68" ht="22" customHeight="1">
      <ns0:c r="A68" s="26" t="str">
        <ns0:v>一定不会</ns0:v>
      </ns0:c>
      <ns0:c r="B68" s="28" t="n">
        <ns0:v>0.044444444444444446</ns0:v>
      </ns0:c>
      <ns0:c r="C68" s="44" t="n">
        <ns0:v>0</ns0:v>
      </ns0:c>
      <ns0:c r="D68" s="29" t="n">
        <ns0:v>0.03508771929824561</ns0:v>
      </ns0:c>
      <ns0:c r="E68" s="31" t="n">
        <ns0:v>0</ns0:v>
      </ns0:c>
      <ns0:c r="F68" s="30" t="n">
        <ns0:v>0.16216216216216217</ns0:v>
      </ns0:c>
      <ns0:c r="G68" s="44" t="n">
        <ns0:v>0.0594059405940594</ns0:v>
      </ns0:c>
      <ns0:c r="H68" s="29" t="n">
        <ns0:v>0.02531645569620253</ns0:v>
      </ns0:c>
      <ns0:c r="I68" s="44" t="n">
        <ns0:v>0</ns0:v>
      </ns0:c>
      <ns0:c r="J68" s="30" t="n">
        <ns0:v>0.0898876404494382</ns0:v>
      </ns0:c>
      <ns0:c r="K68" s="44" t="n">
        <ns0:v>0.013333333333333334</ns0:v>
      </ns0:c>
      <ns0:c r="L68" s="30" t="n">
        <ns0:v>0.0707070707070707</ns0:v>
      </ns0:c>
      <ns0:c r="M68" s="44" t="n">
        <ns0:v>0</ns0:v>
      </ns0:c>
      <ns0:c r="N68" s="30" t="n">
        <ns0:v>0.06557377049180328</ns0:v>
      </ns0:c>
      <ns0:c r="O68" s="44" t="n">
        <ns0:v>0</ns0:v>
      </ns0:c>
      <ns0:c r="P68" s="30" t="n">
        <ns0:v>0.07017543859649122</ns0:v>
      </ns0:c>
    </ns0:row>
    <ns0:row r="69" ht="22" customHeight="1">
      <ns0:c r="A69" s="26" t="str">
        <ns0:v>可能不会</ns0:v>
      </ns0:c>
      <ns0:c r="B69" s="28" t="n">
        <ns0:v>0.19444444444444445</ns0:v>
      </ns0:c>
      <ns0:c r="C69" s="44" t="n">
        <ns0:v>0.08196721311475409</ns0:v>
      </ns0:c>
      <ns0:c r="D69" s="30" t="n">
        <ns0:v>0.24561403508771928</ns0:v>
      </ns0:c>
      <ns0:c r="E69" s="32" t="n">
        <ns0:v>0.28</ns0:v>
      </ns0:c>
      <ns0:c r="F69" s="30" t="n">
        <ns0:v>0.24324324324324326</ns0:v>
      </ns0:c>
      <ns0:c r="G69" s="44" t="n">
        <ns0:v>0.15841584158415842</ns0:v>
      </ns0:c>
      <ns0:c r="H69" s="29" t="n">
        <ns0:v>0.24050632911392406</ns0:v>
      </ns0:c>
      <ns0:c r="I69" s="44" t="n">
        <ns0:v>0.14285714285714285</ns0:v>
      </ns0:c>
      <ns0:c r="J69" s="30" t="n">
        <ns0:v>0.24719101123595505</ns0:v>
      </ns0:c>
      <ns0:c r="K69" s="44" t="n">
        <ns0:v>0.09333333333333334</ns0:v>
      </ns0:c>
      <ns0:c r="L69" s="30" t="n">
        <ns0:v>0.26262626262626265</ns0:v>
      </ns0:c>
      <ns0:c r="M69" s="44" t="n">
        <ns0:v>0</ns0:v>
      </ns0:c>
      <ns0:c r="N69" s="30" t="n">
        <ns0:v>0.28688524590163933</ns0:v>
      </ns0:c>
      <ns0:c r="O69" s="44" t="n">
        <ns0:v>0.14754098360655737</ns0:v>
      </ns0:c>
      <ns0:c r="P69" s="29" t="n">
        <ns0:v>0.20175438596491227</ns0:v>
      </ns0:c>
    </ns0:row>
    <ns0:row r="70" ht="22" customHeight="1">
      <ns0:c r="A70" s="26" t="str">
        <ns0:v>不确定</ns0:v>
      </ns0:c>
      <ns0:c r="B70" s="28" t="n">
        <ns0:v>0.4388888888888889</ns0:v>
      </ns0:c>
      <ns0:c r="C70" s="44" t="n">
        <ns0:v>0.47540983606557374</ns0:v>
      </ns0:c>
      <ns0:c r="D70" s="29" t="n">
        <ns0:v>0.43859649122807015</ns0:v>
      </ns0:c>
      <ns0:c r="E70" s="31" t="n">
        <ns0:v>0.36</ns0:v>
      </ns0:c>
      <ns0:c r="F70" s="29" t="n">
        <ns0:v>0.43243243243243246</ns0:v>
      </ns0:c>
      <ns0:c r="G70" s="44" t="n">
        <ns0:v>0.42574257425742573</ns0:v>
      </ns0:c>
      <ns0:c r="H70" s="29" t="n">
        <ns0:v>0.45569620253164556</ns0:v>
      </ns0:c>
      <ns0:c r="I70" s="44" t="n">
        <ns0:v>0.38461538461538464</ns0:v>
      </ns0:c>
      <ns0:c r="J70" s="29" t="n">
        <ns0:v>0.4943820224719101</ns0:v>
      </ns0:c>
      <ns0:c r="K70" s="47" t="n">
        <ns0:v>0.56</ns0:v>
      </ns0:c>
      <ns0:c r="L70" s="29" t="n">
        <ns0:v>0.35353535353535354</ns0:v>
      </ns0:c>
      <ns0:c r="M70" s="44" t="n">
        <ns0:v>0</ns0:v>
      </ns0:c>
      <ns0:c r="N70" s="30" t="n">
        <ns0:v>0.6475409836065574</ns0:v>
      </ns0:c>
      <ns0:c r="O70" s="44" t="n">
        <ns0:v>0.3114754098360656</ns0:v>
      </ns0:c>
      <ns0:c r="P70" s="30" t="n">
        <ns0:v>0.5175438596491229</ns0:v>
      </ns0:c>
    </ns0:row>
    <ns0:row r="71" ht="22" customHeight="1">
      <ns0:c r="A71" s="26" t="str">
        <ns0:v>可能会</ns0:v>
      </ns0:c>
      <ns0:c r="B71" s="28" t="n">
        <ns0:v>0.25555555555555554</ns0:v>
      </ns0:c>
      <ns0:c r="C71" s="47" t="n">
        <ns0:v>0.3114754098360656</ns0:v>
      </ns0:c>
      <ns0:c r="D71" s="29" t="n">
        <ns0:v>0.24561403508771928</ns0:v>
      </ns0:c>
      <ns0:c r="E71" s="32" t="n">
        <ns0:v>0.32</ns0:v>
      </ns0:c>
      <ns0:c r="F71" s="29" t="n">
        <ns0:v>0.13513513513513514</ns0:v>
      </ns0:c>
      <ns0:c r="G71" s="44" t="n">
        <ns0:v>0.26732673267326734</ns0:v>
      </ns0:c>
      <ns0:c r="H71" s="29" t="n">
        <ns0:v>0.24050632911392406</ns0:v>
      </ns0:c>
      <ns0:c r="I71" s="47" t="n">
        <ns0:v>0.34065934065934067</ns0:v>
      </ns0:c>
      <ns0:c r="J71" s="29" t="n">
        <ns0:v>0.16853932584269662</ns0:v>
      </ns0:c>
      <ns0:c r="K71" s="44" t="n">
        <ns0:v>0.25333333333333335</ns0:v>
      </ns0:c>
      <ns0:c r="L71" s="29" t="n">
        <ns0:v>0.25252525252525254</ns0:v>
      </ns0:c>
      <ns0:c r="M71" s="47" t="n">
        <ns0:v>0.7931034482758621</ns0:v>
      </ns0:c>
      <ns0:c r="N71" s="29" t="n">
        <ns0:v>0</ns0:v>
      </ns0:c>
      <ns0:c r="O71" s="47" t="n">
        <ns0:v>0.4098360655737705</ns0:v>
      </ns0:c>
      <ns0:c r="P71" s="29" t="n">
        <ns0:v>0.17543859649122806</ns0:v>
      </ns0:c>
    </ns0:row>
    <ns0:row r="72" ht="22" customHeight="1">
      <ns0:c r="A72" s="26" t="str">
        <ns0:v>一定会</ns0:v>
      </ns0:c>
      <ns0:c r="B72" s="28" t="n">
        <ns0:v>0.06666666666666667</ns0:v>
      </ns0:c>
      <ns0:c r="C72" s="47" t="n">
        <ns0:v>0.13114754098360656</ns0:v>
      </ns0:c>
      <ns0:c r="D72" s="29" t="n">
        <ns0:v>0.03508771929824561</ns0:v>
      </ns0:c>
      <ns0:c r="E72" s="31" t="n">
        <ns0:v>0.04</ns0:v>
      </ns0:c>
      <ns0:c r="F72" s="29" t="n">
        <ns0:v>0.02702702702702703</ns0:v>
      </ns0:c>
      <ns0:c r="G72" s="44" t="n">
        <ns0:v>0.0891089108910891</ns0:v>
      </ns0:c>
      <ns0:c r="H72" s="29" t="n">
        <ns0:v>0.0379746835443038</ns0:v>
      </ns0:c>
      <ns0:c r="I72" s="47" t="n">
        <ns0:v>0.13186813186813187</ns0:v>
      </ns0:c>
      <ns0:c r="J72" s="29" t="n">
        <ns0:v>0</ns0:v>
      </ns0:c>
      <ns0:c r="K72" s="44" t="n">
        <ns0:v>0.08</ns0:v>
      </ns0:c>
      <ns0:c r="L72" s="29" t="n">
        <ns0:v>0.06060606060606061</ns0:v>
      </ns0:c>
      <ns0:c r="M72" s="47" t="n">
        <ns0:v>0.20689655172413793</ns0:v>
      </ns0:c>
      <ns0:c r="N72" s="29" t="n">
        <ns0:v>0</ns0:v>
      </ns0:c>
      <ns0:c r="O72" s="47" t="n">
        <ns0:v>0.13114754098360656</ns0:v>
      </ns0:c>
      <ns0:c r="P72" s="29" t="n">
        <ns0:v>0.03508771929824561</ns0:v>
      </ns0:c>
    </ns0:row>
    <ns0:row r="73" ht="24" customHeight="1">
      <ns0:c r="A73" s="39" t="str">
        <ns0:v>Total</ns0:v>
      </ns0:c>
      <ns0:c r="B73" s="40" t="n">
        <ns0:f>SUM('体验问卷大表'!B68,'体验问卷大表'!B69,'体验问卷大表'!B70,'体验问卷大表'!B71,'体验问卷大表'!B72)</ns0:f>
        <ns0:v>1</ns0:v>
      </ns0:c>
      <ns0:c r="C73" s="45" t="n">
        <ns0:f>SUM('体验问卷大表'!C68,'体验问卷大表'!C69,'体验问卷大表'!C70,'体验问卷大表'!C71,'体验问卷大表'!C72)</ns0:f>
        <ns0:v>1</ns0:v>
      </ns0:c>
      <ns0:c r="D73" s="40" t="n">
        <ns0:f>SUM('体验问卷大表'!D68,'体验问卷大表'!D69,'体验问卷大表'!D70,'体验问卷大表'!D71,'体验问卷大表'!D72)</ns0:f>
        <ns0:v>1</ns0:v>
      </ns0:c>
      <ns0:c r="E73" s="40" t="n">
        <ns0:f>SUM('体验问卷大表'!E68,'体验问卷大表'!E69,'体验问卷大表'!E70,'体验问卷大表'!E71,'体验问卷大表'!E72)</ns0:f>
        <ns0:v>1</ns0:v>
      </ns0:c>
      <ns0:c r="F73" s="40" t="n">
        <ns0:f>SUM('体验问卷大表'!F68,'体验问卷大表'!F69,'体验问卷大表'!F70,'体验问卷大表'!F71,'体验问卷大表'!F72)</ns0:f>
        <ns0:v>1</ns0:v>
      </ns0:c>
      <ns0:c r="G73" s="45" t="n">
        <ns0:f>SUM('体验问卷大表'!G68,'体验问卷大表'!G69,'体验问卷大表'!G70,'体验问卷大表'!G71,'体验问卷大表'!G72)</ns0:f>
        <ns0:v>1</ns0:v>
      </ns0:c>
      <ns0:c r="H73" s="40" t="n">
        <ns0:f>SUM('体验问卷大表'!H68,'体验问卷大表'!H69,'体验问卷大表'!H70,'体验问卷大表'!H71,'体验问卷大表'!H72)</ns0:f>
        <ns0:v>1</ns0:v>
      </ns0:c>
      <ns0:c r="I73" s="45" t="n">
        <ns0:f>SUM('体验问卷大表'!I68,'体验问卷大表'!I69,'体验问卷大表'!I70,'体验问卷大表'!I71,'体验问卷大表'!I72)</ns0:f>
        <ns0:v>1</ns0:v>
      </ns0:c>
      <ns0:c r="J73" s="40" t="n">
        <ns0:f>SUM('体验问卷大表'!J68,'体验问卷大表'!J69,'体验问卷大表'!J70,'体验问卷大表'!J71,'体验问卷大表'!J72)</ns0:f>
        <ns0:v>1</ns0:v>
      </ns0:c>
      <ns0:c r="K73" s="45" t="n">
        <ns0:f>SUM('体验问卷大表'!K68,'体验问卷大表'!K69,'体验问卷大表'!K70,'体验问卷大表'!K71,'体验问卷大表'!K72)</ns0:f>
        <ns0:v>1.0000000000000002</ns0:v>
      </ns0:c>
      <ns0:c r="L73" s="40" t="n">
        <ns0:f>SUM('体验问卷大表'!L68,'体验问卷大表'!L69,'体验问卷大表'!L70,'体验问卷大表'!L71,'体验问卷大表'!L72)</ns0:f>
        <ns0:v>1</ns0:v>
      </ns0:c>
      <ns0:c r="M73" s="45" t="n">
        <ns0:f>SUM('体验问卷大表'!M68,'体验问卷大表'!M69,'体验问卷大表'!M70,'体验问卷大表'!M71,'体验问卷大表'!M72)</ns0:f>
        <ns0:v>1</ns0:v>
      </ns0:c>
      <ns0:c r="N73" s="40" t="n">
        <ns0:f>SUM('体验问卷大表'!N68,'体验问卷大表'!N69,'体验问卷大表'!N70,'体验问卷大表'!N71,'体验问卷大表'!N72)</ns0:f>
        <ns0:v>1</ns0:v>
      </ns0:c>
      <ns0:c r="O73" s="45" t="n">
        <ns0:f>SUM('体验问卷大表'!O68,'体验问卷大表'!O69,'体验问卷大表'!O70,'体验问卷大表'!O71,'体验问卷大表'!O72)</ns0:f>
        <ns0:v>1</ns0:v>
      </ns0:c>
      <ns0:c r="P73" s="40" t="n">
        <ns0:f>SUM('体验问卷大表'!P68,'体验问卷大表'!P69,'体验问卷大表'!P70,'体验问卷大表'!P71,'体验问卷大表'!P72)</ns0:f>
        <ns0:v>1</ns0:v>
      </ns0:c>
    </ns0:row>
    <ns0:row r="76" ht="24" customHeight="1">
      <ns0:c r="A76" s="17" t="str">
        <ns0:v>体验亮点</ns0:v>
      </ns0:c>
      <ns0:c r="B76" s="18" t="str">
        <ns0:v>返回目录</ns0:v>
      </ns0:c>
      <ns0:c r="C76" s="17"/>
      <ns0:c r="D76" s="17"/>
      <ns0:c r="E76" s="17"/>
      <ns0:c r="F76" s="17"/>
      <ns0:c r="G76" s="17"/>
      <ns0:c r="H76" s="17"/>
      <ns0:c r="I76" s="17"/>
      <ns0:c r="J76" s="17"/>
      <ns0:c r="K76" s="17"/>
      <ns0:c r="L76" s="17"/>
      <ns0:c r="M76" s="17"/>
      <ns0:c r="N76" s="17"/>
      <ns0:c r="O76" s="17"/>
      <ns0:c r="P76" s="17"/>
    </ns0:row>
    <ns0:row r="77" ht="22" customHeight="1">
      <ns0:c r="A77" s="10" t="str">
        <ns0:v>分组族</ns0:v>
      </ns0:c>
      <ns0:c r="B77" s="11" t="str">
        <ns0:v>总体</ns0:v>
      </ns0:c>
      <ns0:c r="C77" s="41" t="str">
        <ns0:v>玩家经验互斥</ns0:v>
      </ns0:c>
      <ns0:c r="D77" s="12"/>
      <ns0:c r="E77" s="12"/>
      <ns0:c r="F77" s="12"/>
      <ns0:c r="G77" s="46" t="str">
        <ns0:v>参与平台</ns0:v>
      </ns0:c>
      <ns0:c r="H77" s="13"/>
      <ns0:c r="I77" s="48" t="str">
        <ns0:v>满意度分层</ns0:v>
      </ns0:c>
      <ns0:c r="J77" s="14"/>
      <ns0:c r="K77" s="48" t="str">
        <ns0:v>上手表现分层</ns0:v>
      </ns0:c>
      <ns0:c r="L77" s="14"/>
      <ns0:c r="M77" s="48" t="str">
        <ns0:v>继续游玩分层</ns0:v>
      </ns0:c>
      <ns0:c r="N77" s="14"/>
      <ns0:c r="O77" s="48" t="str">
        <ns0:v>推荐意愿分层</ns0:v>
      </ns0:c>
      <ns0:c r="P77" s="14"/>
    </ns0:row>
    <ns0:row r="78" ht="44" customHeight="1">
      <ns0:c r="A78" s="10" t="str">
        <ns0:v>选项 / 指标</ns0:v>
      </ns0:c>
      <ns0:c r="B78" s="11" t="str">
        <ns0:v>Total</ns0:v>
      </ns0:c>
      <ns0:c r="C78" s="41" t="str">
        <ns0:v>横版动作核心</ns0:v>
      </ns0:c>
      <ns0:c r="D78" s="12" t="str">
        <ns0:v>二游ARPG</ns0:v>
      </ns0:c>
      <ns0:c r="E78" s="12" t="str">
        <ns0:v>银河恶魔城</ns0:v>
      </ns0:c>
      <ns0:c r="F78" s="12" t="str">
        <ns0:v>泛用户</ns0:v>
      </ns0:c>
      <ns0:c r="G78" s="46" t="str">
        <ns0:v>移动端</ns0:v>
      </ns0:c>
      <ns0:c r="H78" s="13" t="str">
        <ns0:v>PC/主机</ns0:v>
      </ns0:c>
      <ns0:c r="I78" s="48" t="str">
        <ns0:v>高满意（4–5分）</ns0:v>
      </ns0:c>
      <ns0:c r="J78" s="14" t="str">
        <ns0:v>非高满意（1–3分）</ns0:v>
      </ns0:c>
      <ns0:c r="K78" s="48" t="str">
        <ns0:v>容易上手（4–5分）</ns0:v>
      </ns0:c>
      <ns0:c r="L78" s="14" t="str">
        <ns0:v>非容易上手（1–3分）</ns0:v>
      </ns0:c>
      <ns0:c r="M78" s="48" t="str">
        <ns0:v>高意愿（4–5分）</ns0:v>
      </ns0:c>
      <ns0:c r="N78" s="14" t="str">
        <ns0:v>非高意愿（1–3分）</ns0:v>
      </ns0:c>
      <ns0:c r="O78" s="48" t="str">
        <ns0:v>推荐者（9–10分）</ns0:v>
      </ns0:c>
      <ns0:c r="P78" s="14" t="str">
        <ns0:v>非推荐者（0–8分）</ns0:v>
      </ns0:c>
    </ns0:row>
    <ns0:row r="79">
      <ns0:c r="A79" s="20" t="str">
        <ns0:v>基数（n）：有效回答该题</ns0:v>
      </ns0:c>
      <ns0:c r="B79" s="21" t="n">
        <ns0:v>180</ns0:v>
      </ns0:c>
      <ns0:c r="C79" s="42" t="n">
        <ns0:v>61</ns0:v>
      </ns0:c>
      <ns0:c r="D79" s="21" t="n">
        <ns0:v>57</ns0:v>
      </ns0:c>
      <ns0:c r="E79" s="22" t="n">
        <ns0:v>25</ns0:v>
      </ns0:c>
      <ns0:c r="F79" s="21" t="n">
        <ns0:v>37</ns0:v>
      </ns0:c>
      <ns0:c r="G79" s="42" t="n">
        <ns0:v>101</ns0:v>
      </ns0:c>
      <ns0:c r="H79" s="21" t="n">
        <ns0:v>79</ns0:v>
      </ns0:c>
      <ns0:c r="I79" s="42" t="n">
        <ns0:v>91</ns0:v>
      </ns0:c>
      <ns0:c r="J79" s="21" t="n">
        <ns0:v>89</ns0:v>
      </ns0:c>
      <ns0:c r="K79" s="42" t="n">
        <ns0:v>75</ns0:v>
      </ns0:c>
      <ns0:c r="L79" s="21" t="n">
        <ns0:v>99</ns0:v>
      </ns0:c>
      <ns0:c r="M79" s="42" t="n">
        <ns0:v>58</ns0:v>
      </ns0:c>
      <ns0:c r="N79" s="21" t="n">
        <ns0:v>122</ns0:v>
      </ns0:c>
      <ns0:c r="O79" s="42" t="n">
        <ns0:v>61</ns0:v>
      </ns0:c>
      <ns0:c r="P79" s="21" t="n">
        <ns0:v>114</ns0:v>
      </ns0:c>
    </ns0:row>
    <ns0:row r="80" ht="26" customHeight="1">
      <ns0:c r="A80" s="25" t="str">
        <ns0:v>[Q6].本次体验中，你认为做得较好的部分有哪些？</ns0:v>
      </ns0:c>
      <ns0:c r="B80" s="25"/>
      <ns0:c r="C80" s="43"/>
      <ns0:c r="D80" s="25"/>
      <ns0:c r="E80" s="25"/>
      <ns0:c r="F80" s="25"/>
      <ns0:c r="G80" s="43"/>
      <ns0:c r="H80" s="25"/>
      <ns0:c r="I80" s="43"/>
      <ns0:c r="J80" s="25"/>
      <ns0:c r="K80" s="43"/>
      <ns0:c r="L80" s="25"/>
      <ns0:c r="M80" s="43"/>
      <ns0:c r="N80" s="25"/>
      <ns0:c r="O80" s="43"/>
      <ns0:c r="P80" s="25"/>
    </ns0:row>
    <ns0:row r="81" ht="22" customHeight="1">
      <ns0:c r="A81" s="26" t="str">
        <ns0:v>战斗手感</ns0:v>
      </ns0:c>
      <ns0:c r="B81" s="28" t="n">
        <ns0:v>0.45</ns0:v>
      </ns0:c>
      <ns0:c r="C81" s="47" t="n">
        <ns0:v>0.7704918032786885</ns0:v>
      </ns0:c>
      <ns0:c r="D81" s="29" t="n">
        <ns0:v>0.2807017543859649</ns0:v>
      </ns0:c>
      <ns0:c r="E81" s="31" t="n">
        <ns0:v>0.4</ns0:v>
      </ns0:c>
      <ns0:c r="F81" s="29" t="n">
        <ns0:v>0.21621621621621623</ns0:v>
      </ns0:c>
      <ns0:c r="G81" s="44" t="n">
        <ns0:v>0.43564356435643564</ns0:v>
      </ns0:c>
      <ns0:c r="H81" s="29" t="n">
        <ns0:v>0.46835443037974683</ns0:v>
      </ns0:c>
      <ns0:c r="I81" s="47" t="n">
        <ns0:v>0.5604395604395604</ns0:v>
      </ns0:c>
      <ns0:c r="J81" s="29" t="n">
        <ns0:v>0.33707865168539325</ns0:v>
      </ns0:c>
      <ns0:c r="K81" s="44" t="n">
        <ns0:v>0.5066666666666667</ns0:v>
      </ns0:c>
      <ns0:c r="L81" s="29" t="n">
        <ns0:v>0.41414141414141414</ns0:v>
      </ns0:c>
      <ns0:c r="M81" s="44" t="n">
        <ns0:v>0.4827586206896552</ns0:v>
      </ns0:c>
      <ns0:c r="N81" s="29" t="n">
        <ns0:v>0.4344262295081967</ns0:v>
      </ns0:c>
      <ns0:c r="O81" s="44" t="n">
        <ns0:v>0.5245901639344263</ns0:v>
      </ns0:c>
      <ns0:c r="P81" s="29" t="n">
        <ns0:v>0.41228070175438597</ns0:v>
      </ns0:c>
    </ns0:row>
    <ns0:row r="82" ht="22" customHeight="1">
      <ns0:c r="A82" s="26" t="str">
        <ns0:v>美术表现</ns0:v>
      </ns0:c>
      <ns0:c r="B82" s="28" t="n">
        <ns0:v>0.5388888888888889</ns0:v>
      </ns0:c>
      <ns0:c r="C82" s="44" t="n">
        <ns0:v>0.4426229508196721</ns0:v>
      </ns0:c>
      <ns0:c r="D82" s="29" t="n">
        <ns0:v>0.5263157894736842</ns0:v>
      </ns0:c>
      <ns0:c r="E82" s="31" t="n">
        <ns0:v>0.56</ns0:v>
      </ns0:c>
      <ns0:c r="F82" s="30" t="n">
        <ns0:v>0.7027027027027027</ns0:v>
      </ns0:c>
      <ns0:c r="G82" s="44" t="n">
        <ns0:v>0.5544554455445545</ns0:v>
      </ns0:c>
      <ns0:c r="H82" s="29" t="n">
        <ns0:v>0.5189873417721519</ns0:v>
      </ns0:c>
      <ns0:c r="I82" s="44" t="n">
        <ns0:v>0.5274725274725275</ns0:v>
      </ns0:c>
      <ns0:c r="J82" s="29" t="n">
        <ns0:v>0.550561797752809</ns0:v>
      </ns0:c>
      <ns0:c r="K82" s="44" t="n">
        <ns0:v>0.5733333333333334</ns0:v>
      </ns0:c>
      <ns0:c r="L82" s="29" t="n">
        <ns0:v>0.5353535353535354</ns0:v>
      </ns0:c>
      <ns0:c r="M82" s="44" t="n">
        <ns0:v>0.46551724137931033</ns0:v>
      </ns0:c>
      <ns0:c r="N82" s="29" t="n">
        <ns0:v>0.5737704918032787</ns0:v>
      </ns0:c>
      <ns0:c r="O82" s="44" t="n">
        <ns0:v>0.47540983606557374</ns0:v>
      </ns0:c>
      <ns0:c r="P82" s="29" t="n">
        <ns0:v>0.5789473684210527</ns0:v>
      </ns0:c>
    </ns0:row>
    <ns0:row r="83" ht="22" customHeight="1">
      <ns0:c r="A83" s="26" t="str">
        <ns0:v>角色设计</ns0:v>
      </ns0:c>
      <ns0:c r="B83" s="28" t="n">
        <ns0:v>0.4388888888888889</ns0:v>
      </ns0:c>
      <ns0:c r="C83" s="44" t="n">
        <ns0:v>0.39344262295081966</ns0:v>
      </ns0:c>
      <ns0:c r="D83" s="29" t="n">
        <ns0:v>0.5263157894736842</ns0:v>
      </ns0:c>
      <ns0:c r="E83" s="31" t="n">
        <ns0:v>0.4</ns0:v>
      </ns0:c>
      <ns0:c r="F83" s="29" t="n">
        <ns0:v>0.40540540540540543</ns0:v>
      </ns0:c>
      <ns0:c r="G83" s="47" t="n">
        <ns0:v>0.504950495049505</ns0:v>
      </ns0:c>
      <ns0:c r="H83" s="29" t="n">
        <ns0:v>0.35443037974683544</ns0:v>
      </ns0:c>
      <ns0:c r="I83" s="44" t="n">
        <ns0:v>0.45054945054945056</ns0:v>
      </ns0:c>
      <ns0:c r="J83" s="29" t="n">
        <ns0:v>0.42696629213483145</ns0:v>
      </ns0:c>
      <ns0:c r="K83" s="44" t="n">
        <ns0:v>0.4666666666666667</ns0:v>
      </ns0:c>
      <ns0:c r="L83" s="29" t="n">
        <ns0:v>0.43434343434343436</ns0:v>
      </ns0:c>
      <ns0:c r="M83" s="44" t="n">
        <ns0:v>0.43103448275862066</ns0:v>
      </ns0:c>
      <ns0:c r="N83" s="29" t="n">
        <ns0:v>0.4426229508196721</ns0:v>
      </ns0:c>
      <ns0:c r="O83" s="44" t="n">
        <ns0:v>0.39344262295081966</ns0:v>
      </ns0:c>
      <ns0:c r="P83" s="29" t="n">
        <ns0:v>0.4649122807017544</ns0:v>
      </ns0:c>
    </ns0:row>
    <ns0:row r="84" ht="22" customHeight="1">
      <ns0:c r="A84" s="26" t="str">
        <ns0:v>世界探索</ns0:v>
      </ns0:c>
      <ns0:c r="B84" s="28" t="n">
        <ns0:v>0.2611111111111111</ns0:v>
      </ns0:c>
      <ns0:c r="C84" s="44" t="n">
        <ns0:v>0.26229508196721313</ns0:v>
      </ns0:c>
      <ns0:c r="D84" s="29" t="n">
        <ns0:v>0.2807017543859649</ns0:v>
      </ns0:c>
      <ns0:c r="E84" s="31" t="n">
        <ns0:v>0.28</ns0:v>
      </ns0:c>
      <ns0:c r="F84" s="29" t="n">
        <ns0:v>0.21621621621621623</ns0:v>
      </ns0:c>
      <ns0:c r="G84" s="44" t="n">
        <ns0:v>0.2871287128712871</ns0:v>
      </ns0:c>
      <ns0:c r="H84" s="29" t="n">
        <ns0:v>0.22784810126582278</ns0:v>
      </ns0:c>
      <ns0:c r="I84" s="44" t="n">
        <ns0:v>0.2857142857142857</ns0:v>
      </ns0:c>
      <ns0:c r="J84" s="29" t="n">
        <ns0:v>0.23595505617977527</ns0:v>
      </ns0:c>
      <ns0:c r="K84" s="44" t="n">
        <ns0:v>0.29333333333333333</ns0:v>
      </ns0:c>
      <ns0:c r="L84" s="29" t="n">
        <ns0:v>0.23232323232323232</ns0:v>
      </ns0:c>
      <ns0:c r="M84" s="44" t="n">
        <ns0:v>0.3103448275862069</ns0:v>
      </ns0:c>
      <ns0:c r="N84" s="29" t="n">
        <ns0:v>0.23770491803278687</ns0:v>
      </ns0:c>
      <ns0:c r="O84" s="44" t="n">
        <ns0:v>0.32786885245901637</ns0:v>
      </ns0:c>
      <ns0:c r="P84" s="29" t="n">
        <ns0:v>0.21929824561403508</ns0:v>
      </ns0:c>
    </ns0:row>
    <ns0:row r="85" ht="22" customHeight="1">
      <ns0:c r="A85" s="26" t="str">
        <ns0:v>剧情设定</ns0:v>
      </ns0:c>
      <ns0:c r="B85" s="28" t="n">
        <ns0:v>0.2833333333333333</ns0:v>
      </ns0:c>
      <ns0:c r="C85" s="47" t="n">
        <ns0:v>0.3770491803278688</ns0:v>
      </ns0:c>
      <ns0:c r="D85" s="29" t="n">
        <ns0:v>0.2631578947368421</ns0:v>
      </ns0:c>
      <ns0:c r="E85" s="31" t="n">
        <ns0:v>0.2</ns0:v>
      </ns0:c>
      <ns0:c r="F85" s="29" t="n">
        <ns0:v>0.21621621621621623</ns0:v>
      </ns0:c>
      <ns0:c r="G85" s="44" t="n">
        <ns0:v>0.2376237623762376</ns0:v>
      </ns0:c>
      <ns0:c r="H85" s="29" t="n">
        <ns0:v>0.34177215189873417</ns0:v>
      </ns0:c>
      <ns0:c r="I85" s="47" t="n">
        <ns0:v>0.34065934065934067</ns0:v>
      </ns0:c>
      <ns0:c r="J85" s="29" t="n">
        <ns0:v>0.2247191011235955</ns0:v>
      </ns0:c>
      <ns0:c r="K85" s="44" t="n">
        <ns0:v>0.29333333333333333</ns0:v>
      </ns0:c>
      <ns0:c r="L85" s="29" t="n">
        <ns0:v>0.2727272727272727</ns0:v>
      </ns0:c>
      <ns0:c r="M85" s="44" t="n">
        <ns0:v>0.29310344827586204</ns0:v>
      </ns0:c>
      <ns0:c r="N85" s="29" t="n">
        <ns0:v>0.2786885245901639</ns0:v>
      </ns0:c>
      <ns0:c r="O85" s="44" t="n">
        <ns0:v>0.36065573770491804</ns0:v>
      </ns0:c>
      <ns0:c r="P85" s="29" t="n">
        <ns0:v>0.24561403508771928</ns0:v>
      </ns0:c>
    </ns0:row>
    <ns0:row r="86" ht="22" customHeight="1">
      <ns0:c r="A86" s="26" t="str">
        <ns0:v>社交体验</ns0:v>
      </ns0:c>
      <ns0:c r="B86" s="28" t="n">
        <ns0:v>0.16666666666666666</ns0:v>
      </ns0:c>
      <ns0:c r="C86" s="44" t="n">
        <ns0:v>0.14754098360655737</ns0:v>
      </ns0:c>
      <ns0:c r="D86" s="29" t="n">
        <ns0:v>0.15789473684210525</ns0:v>
      </ns0:c>
      <ns0:c r="E86" s="31" t="n">
        <ns0:v>0.12</ns0:v>
      </ns0:c>
      <ns0:c r="F86" s="29" t="n">
        <ns0:v>0.24324324324324326</ns0:v>
      </ns0:c>
      <ns0:c r="G86" s="44" t="n">
        <ns0:v>0.18811881188118812</ns0:v>
      </ns0:c>
      <ns0:c r="H86" s="29" t="n">
        <ns0:v>0.13924050632911392</ns0:v>
      </ns0:c>
      <ns0:c r="I86" s="44" t="n">
        <ns0:v>0.10989010989010989</ns0:v>
      </ns0:c>
      <ns0:c r="J86" s="30" t="n">
        <ns0:v>0.2247191011235955</ns0:v>
      </ns0:c>
      <ns0:c r="K86" s="44" t="n">
        <ns0:v>0.12</ns0:v>
      </ns0:c>
      <ns0:c r="L86" s="29" t="n">
        <ns0:v>0.20202020202020202</ns0:v>
      </ns0:c>
      <ns0:c r="M86" s="44" t="n">
        <ns0:v>0.034482758620689655</ns0:v>
      </ns0:c>
      <ns0:c r="N86" s="30" t="n">
        <ns0:v>0.22950819672131148</ns0:v>
      </ns0:c>
      <ns0:c r="O86" s="44" t="n">
        <ns0:v>0.08196721311475409</ns0:v>
      </ns0:c>
      <ns0:c r="P86" s="30" t="n">
        <ns0:v>0.20175438596491227</ns0:v>
      </ns0:c>
    </ns0:row>
    <ns0:row r="87" ht="22" customHeight="1">
      <ns0:c r="A87" s="26" t="str">
        <ns0:v>其他</ns0:v>
      </ns0:c>
      <ns0:c r="B87" s="28" t="n">
        <ns0:v>0.05555555555555555</ns0:v>
      </ns0:c>
      <ns0:c r="C87" s="44" t="n">
        <ns0:v>0.04918032786885246</ns0:v>
      </ns0:c>
      <ns0:c r="D87" s="29" t="n">
        <ns0:v>0.08771929824561403</ns0:v>
      </ns0:c>
      <ns0:c r="E87" s="31" t="n">
        <ns0:v>0</ns0:v>
      </ns0:c>
      <ns0:c r="F87" s="29" t="n">
        <ns0:v>0.05405405405405406</ns0:v>
      </ns0:c>
      <ns0:c r="G87" s="44" t="n">
        <ns0:v>0.07920792079207921</ns0:v>
      </ns0:c>
      <ns0:c r="H87" s="29" t="n">
        <ns0:v>0.02531645569620253</ns0:v>
      </ns0:c>
      <ns0:c r="I87" s="44" t="n">
        <ns0:v>0.04395604395604396</ns0:v>
      </ns0:c>
      <ns0:c r="J87" s="29" t="n">
        <ns0:v>0.06741573033707865</ns0:v>
      </ns0:c>
      <ns0:c r="K87" s="47" t="n">
        <ns0:v>0.09333333333333334</ns0:v>
      </ns0:c>
      <ns0:c r="L87" s="29" t="n">
        <ns0:v>0.030303030303030304</ns0:v>
      </ns0:c>
      <ns0:c r="M87" s="44" t="n">
        <ns0:v>0.05172413793103448</ns0:v>
      </ns0:c>
      <ns0:c r="N87" s="29" t="n">
        <ns0:v>0.05737704918032787</ns0:v>
      </ns0:c>
      <ns0:c r="O87" s="44" t="n">
        <ns0:v>0.03278688524590164</ns0:v>
      </ns0:c>
      <ns0:c r="P87" s="29" t="n">
        <ns0:v>0.07017543859649122</ns0:v>
      </ns0:c>
    </ns0:row>
    <ns0:row r="88" ht="24" customHeight="1">
      <ns0:c r="A88" s="39" t="str">
        <ns0:v>选择率合计（可超过100%）</ns0:v>
      </ns0:c>
      <ns0:c r="B88" s="40" t="n">
        <ns0:f>SUM('体验问卷大表'!B81,'体验问卷大表'!B82,'体验问卷大表'!B83,'体验问卷大表'!B84,'体验问卷大表'!B85,'体验问卷大表'!B86,'体验问卷大表'!B87)</ns0:f>
        <ns0:v>2.194444444444444</ns0:v>
      </ns0:c>
      <ns0:c r="C88" s="45" t="n">
        <ns0:f>SUM('体验问卷大表'!C81,'体验问卷大表'!C82,'体验问卷大表'!C83,'体验问卷大表'!C84,'体验问卷大表'!C85,'体验问卷大表'!C86,'体验问卷大表'!C87)</ns0:f>
        <ns0:v>2.442622950819672</ns0:v>
      </ns0:c>
      <ns0:c r="D88" s="40" t="n">
        <ns0:f>SUM('体验问卷大表'!D81,'体验问卷大表'!D82,'体验问卷大表'!D83,'体验问卷大表'!D84,'体验问卷大表'!D85,'体验问卷大表'!D86,'体验问卷大表'!D87)</ns0:f>
        <ns0:v>2.122807017543859</ns0:v>
      </ns0:c>
      <ns0:c r="E88" s="40" t="n">
        <ns0:f>SUM('体验问卷大表'!E81,'体验问卷大表'!E82,'体验问卷大表'!E83,'体验问卷大表'!E84,'体验问卷大表'!E85,'体验问卷大表'!E86,'体验问卷大表'!E87)</ns0:f>
        <ns0:v>1.96</ns0:v>
      </ns0:c>
      <ns0:c r="F88" s="40" t="n">
        <ns0:f>SUM('体验问卷大表'!F81,'体验问卷大表'!F82,'体验问卷大表'!F83,'体验问卷大表'!F84,'体验问卷大表'!F85,'体验问卷大表'!F86,'体验问卷大表'!F87)</ns0:f>
        <ns0:v>2.054054054054054</ns0:v>
      </ns0:c>
      <ns0:c r="G88" s="45" t="n">
        <ns0:f>SUM('体验问卷大表'!G81,'体验问卷大表'!G82,'体验问卷大表'!G83,'体验问卷大表'!G84,'体验问卷大表'!G85,'体验问卷大表'!G86,'体验问卷大表'!G87)</ns0:f>
        <ns0:v>2.2871287128712874</ns0:v>
      </ns0:c>
      <ns0:c r="H88" s="40" t="n">
        <ns0:f>SUM('体验问卷大表'!H81,'体验问卷大表'!H82,'体验问卷大表'!H83,'体验问卷大表'!H84,'体验问卷大表'!H85,'体验问卷大表'!H86,'体验问卷大表'!H87)</ns0:f>
        <ns0:v>2.0759493670886076</ns0:v>
      </ns0:c>
      <ns0:c r="I88" s="45" t="n">
        <ns0:f>SUM('体验问卷大表'!I81,'体验问卷大表'!I82,'体验问卷大表'!I83,'体验问卷大表'!I84,'体验问卷大表'!I85,'体验问卷大表'!I86,'体验问卷大表'!I87)</ns0:f>
        <ns0:v>2.318681318681319</ns0:v>
      </ns0:c>
      <ns0:c r="J88" s="40" t="n">
        <ns0:f>SUM('体验问卷大表'!J81,'体验问卷大表'!J82,'体验问卷大表'!J83,'体验问卷大表'!J84,'体验问卷大表'!J85,'体验问卷大表'!J86,'体验问卷大表'!J87)</ns0:f>
        <ns0:v>2.067415730337079</ns0:v>
      </ns0:c>
      <ns0:c r="K88" s="45" t="n">
        <ns0:f>SUM('体验问卷大表'!K81,'体验问卷大表'!K82,'体验问卷大表'!K83,'体验问卷大表'!K84,'体验问卷大表'!K85,'体验问卷大表'!K86,'体验问卷大表'!K87)</ns0:f>
        <ns0:v>2.346666666666667</ns0:v>
      </ns0:c>
      <ns0:c r="L88" s="40" t="n">
        <ns0:f>SUM('体验问卷大表'!L81,'体验问卷大表'!L82,'体验问卷大表'!L83,'体验问卷大表'!L84,'体验问卷大表'!L85,'体验问卷大表'!L86,'体验问卷大表'!L87)</ns0:f>
        <ns0:v>2.121212121212121</ns0:v>
      </ns0:c>
      <ns0:c r="M88" s="45" t="n">
        <ns0:f>SUM('体验问卷大表'!M81,'体验问卷大表'!M82,'体验问卷大表'!M83,'体验问卷大表'!M84,'体验问卷大表'!M85,'体验问卷大表'!M86,'体验问卷大表'!M87)</ns0:f>
        <ns0:v>2.0689655172413794</ns0:v>
      </ns0:c>
      <ns0:c r="N88" s="40" t="n">
        <ns0:f>SUM('体验问卷大表'!N81,'体验问卷大表'!N82,'体验问卷大表'!N83,'体验问卷大表'!N84,'体验问卷大表'!N85,'体验问卷大表'!N86,'体验问卷大表'!N87)</ns0:f>
        <ns0:v>2.2540983606557377</ns0:v>
      </ns0:c>
      <ns0:c r="O88" s="45" t="n">
        <ns0:f>SUM('体验问卷大表'!O81,'体验问卷大表'!O82,'体验问卷大表'!O83,'体验问卷大表'!O84,'体验问卷大表'!O85,'体验问卷大表'!O86,'体验问卷大表'!O87)</ns0:f>
        <ns0:v>2.1967213114754096</ns0:v>
      </ns0:c>
      <ns0:c r="P88" s="40" t="n">
        <ns0:f>SUM('体验问卷大表'!P81,'体验问卷大表'!P82,'体验问卷大表'!P83,'体验问卷大表'!P84,'体验问卷大表'!P85,'体验问卷大表'!P86,'体验问卷大表'!P87)</ns0:f>
        <ns0:v>2.192982456140351</ns0:v>
      </ns0:c>
    </ns0:row>
    <ns0:row r="91" ht="24" customHeight="1">
      <ns0:c r="A91" s="17" t="str">
        <ns0:v>模块体验</ns0:v>
      </ns0:c>
      <ns0:c r="B91" s="18" t="str">
        <ns0:v>返回目录</ns0:v>
      </ns0:c>
      <ns0:c r="C91" s="17"/>
      <ns0:c r="D91" s="17"/>
      <ns0:c r="E91" s="17"/>
      <ns0:c r="F91" s="17"/>
      <ns0:c r="G91" s="17"/>
      <ns0:c r="H91" s="17"/>
      <ns0:c r="I91" s="17"/>
      <ns0:c r="J91" s="17"/>
      <ns0:c r="K91" s="17"/>
      <ns0:c r="L91" s="17"/>
      <ns0:c r="M91" s="17"/>
      <ns0:c r="N91" s="17"/>
      <ns0:c r="O91" s="17"/>
      <ns0:c r="P91" s="17"/>
    </ns0:row>
    <ns0:row r="92" ht="22" customHeight="1">
      <ns0:c r="A92" s="10" t="str">
        <ns0:v>分组族</ns0:v>
      </ns0:c>
      <ns0:c r="B92" s="11" t="str">
        <ns0:v>总体</ns0:v>
      </ns0:c>
      <ns0:c r="C92" s="41" t="str">
        <ns0:v>玩家经验互斥</ns0:v>
      </ns0:c>
      <ns0:c r="D92" s="12"/>
      <ns0:c r="E92" s="12"/>
      <ns0:c r="F92" s="12"/>
      <ns0:c r="G92" s="46" t="str">
        <ns0:v>参与平台</ns0:v>
      </ns0:c>
      <ns0:c r="H92" s="13"/>
      <ns0:c r="I92" s="48" t="str">
        <ns0:v>满意度分层</ns0:v>
      </ns0:c>
      <ns0:c r="J92" s="14"/>
      <ns0:c r="K92" s="48" t="str">
        <ns0:v>上手表现分层</ns0:v>
      </ns0:c>
      <ns0:c r="L92" s="14"/>
      <ns0:c r="M92" s="48" t="str">
        <ns0:v>继续游玩分层</ns0:v>
      </ns0:c>
      <ns0:c r="N92" s="14"/>
      <ns0:c r="O92" s="48" t="str">
        <ns0:v>推荐意愿分层</ns0:v>
      </ns0:c>
      <ns0:c r="P92" s="14"/>
    </ns0:row>
    <ns0:row r="93" ht="44" customHeight="1">
      <ns0:c r="A93" s="10" t="str">
        <ns0:v>选项 / 指标</ns0:v>
      </ns0:c>
      <ns0:c r="B93" s="11" t="str">
        <ns0:v>Total</ns0:v>
      </ns0:c>
      <ns0:c r="C93" s="41" t="str">
        <ns0:v>横版动作核心</ns0:v>
      </ns0:c>
      <ns0:c r="D93" s="12" t="str">
        <ns0:v>二游ARPG</ns0:v>
      </ns0:c>
      <ns0:c r="E93" s="12" t="str">
        <ns0:v>银河恶魔城</ns0:v>
      </ns0:c>
      <ns0:c r="F93" s="12" t="str">
        <ns0:v>泛用户</ns0:v>
      </ns0:c>
      <ns0:c r="G93" s="46" t="str">
        <ns0:v>移动端</ns0:v>
      </ns0:c>
      <ns0:c r="H93" s="13" t="str">
        <ns0:v>PC/主机</ns0:v>
      </ns0:c>
      <ns0:c r="I93" s="48" t="str">
        <ns0:v>高满意（4–5分）</ns0:v>
      </ns0:c>
      <ns0:c r="J93" s="14" t="str">
        <ns0:v>非高满意（1–3分）</ns0:v>
      </ns0:c>
      <ns0:c r="K93" s="48" t="str">
        <ns0:v>容易上手（4–5分）</ns0:v>
      </ns0:c>
      <ns0:c r="L93" s="14" t="str">
        <ns0:v>非容易上手（1–3分）</ns0:v>
      </ns0:c>
      <ns0:c r="M93" s="48" t="str">
        <ns0:v>高意愿（4–5分）</ns0:v>
      </ns0:c>
      <ns0:c r="N93" s="14" t="str">
        <ns0:v>非高意愿（1–3分）</ns0:v>
      </ns0:c>
      <ns0:c r="O93" s="48" t="str">
        <ns0:v>推荐者（9–10分）</ns0:v>
      </ns0:c>
      <ns0:c r="P93" s="14" t="str">
        <ns0:v>非推荐者（0–8分）</ns0:v>
      </ns0:c>
    </ns0:row>
    <ns0:row r="94">
      <ns0:c r="A94" s="20" t="str">
        <ns0:v>基数（n）：有效回答该题</ns0:v>
      </ns0:c>
      <ns0:c r="B94" s="21" t="n">
        <ns0:v>180</ns0:v>
      </ns0:c>
      <ns0:c r="C94" s="42" t="n">
        <ns0:v>61</ns0:v>
      </ns0:c>
      <ns0:c r="D94" s="21" t="n">
        <ns0:v>57</ns0:v>
      </ns0:c>
      <ns0:c r="E94" s="22" t="n">
        <ns0:v>25</ns0:v>
      </ns0:c>
      <ns0:c r="F94" s="21" t="n">
        <ns0:v>37</ns0:v>
      </ns0:c>
      <ns0:c r="G94" s="42" t="n">
        <ns0:v>101</ns0:v>
      </ns0:c>
      <ns0:c r="H94" s="21" t="n">
        <ns0:v>79</ns0:v>
      </ns0:c>
      <ns0:c r="I94" s="42" t="n">
        <ns0:v>91</ns0:v>
      </ns0:c>
      <ns0:c r="J94" s="21" t="n">
        <ns0:v>89</ns0:v>
      </ns0:c>
      <ns0:c r="K94" s="42" t="n">
        <ns0:v>75</ns0:v>
      </ns0:c>
      <ns0:c r="L94" s="21" t="n">
        <ns0:v>99</ns0:v>
      </ns0:c>
      <ns0:c r="M94" s="42" t="n">
        <ns0:v>58</ns0:v>
      </ns0:c>
      <ns0:c r="N94" s="21" t="n">
        <ns0:v>122</ns0:v>
      </ns0:c>
      <ns0:c r="O94" s="42" t="n">
        <ns0:v>61</ns0:v>
      </ns0:c>
      <ns0:c r="P94" s="21" t="n">
        <ns0:v>114</ns0:v>
      </ns0:c>
    </ns0:row>
    <ns0:row r="95" ht="26" customHeight="1">
      <ns0:c r="A95" s="25" t="str">
        <ns0:v>[Q7].请评价以下体验模块。</ns0:v>
      </ns0:c>
      <ns0:c r="B95" s="25"/>
      <ns0:c r="C95" s="43"/>
      <ns0:c r="D95" s="25"/>
      <ns0:c r="E95" s="25"/>
      <ns0:c r="F95" s="25"/>
      <ns0:c r="G95" s="43"/>
      <ns0:c r="H95" s="25"/>
      <ns0:c r="I95" s="43"/>
      <ns0:c r="J95" s="25"/>
      <ns0:c r="K95" s="43"/>
      <ns0:c r="L95" s="25"/>
      <ns0:c r="M95" s="43"/>
      <ns0:c r="N95" s="25"/>
      <ns0:c r="O95" s="43"/>
      <ns0:c r="P95" s="25"/>
    </ns0:row>
    <ns0:row r="96" ht="22" customHeight="1">
      <ns0:c r="A96" s="51" t="str">
        <ns0:v>战斗反馈｜有效基数</ns0:v>
      </ns0:c>
      <ns0:c r="B96" s="71" t="n">
        <ns0:v>180</ns0:v>
      </ns0:c>
      <ns0:c r="C96" s="74" t="n">
        <ns0:v>61</ns0:v>
      </ns0:c>
      <ns0:c r="D96" s="72" t="n">
        <ns0:v>57</ns0:v>
      </ns0:c>
      <ns0:c r="E96" s="73" t="n">
        <ns0:v>25</ns0:v>
      </ns0:c>
      <ns0:c r="F96" s="72" t="n">
        <ns0:v>37</ns0:v>
      </ns0:c>
      <ns0:c r="G96" s="74" t="n">
        <ns0:v>101</ns0:v>
      </ns0:c>
      <ns0:c r="H96" s="72" t="n">
        <ns0:v>79</ns0:v>
      </ns0:c>
      <ns0:c r="I96" s="74" t="n">
        <ns0:v>91</ns0:v>
      </ns0:c>
      <ns0:c r="J96" s="72" t="n">
        <ns0:v>89</ns0:v>
      </ns0:c>
      <ns0:c r="K96" s="74" t="n">
        <ns0:v>75</ns0:v>
      </ns0:c>
      <ns0:c r="L96" s="72" t="n">
        <ns0:v>99</ns0:v>
      </ns0:c>
      <ns0:c r="M96" s="74" t="n">
        <ns0:v>58</ns0:v>
      </ns0:c>
      <ns0:c r="N96" s="72" t="n">
        <ns0:v>122</ns0:v>
      </ns0:c>
      <ns0:c r="O96" s="74" t="n">
        <ns0:v>61</ns0:v>
      </ns0:c>
      <ns0:c r="P96" s="72" t="n">
        <ns0:v>114</ns0:v>
      </ns0:c>
    </ns0:row>
    <ns0:row r="97" ht="22" customHeight="1">
      <ns0:c r="A97" s="53" t="str">
        <ns0:v>战斗反馈｜Mean ↑</ns0:v>
      </ns0:c>
      <ns0:c r="B97" s="56" t="n">
        <ns0:v>3.45</ns0:v>
      </ns0:c>
      <ns0:c r="C97" s="66" t="n">
        <ns0:v>4.147540983606557</ns0:v>
      </ns0:c>
      <ns0:c r="D97" s="58" t="n">
        <ns0:v>3.3157894736842106</ns0:v>
      </ns0:c>
      <ns0:c r="E97" s="60" t="n">
        <ns0:v>3.64</ns0:v>
      </ns0:c>
      <ns0:c r="F97" s="57" t="n">
        <ns0:v>2.3783783783783785</ns0:v>
      </ns0:c>
      <ns0:c r="G97" s="69" t="n">
        <ns0:v>3.277227722772277</ns0:v>
      </ns0:c>
      <ns0:c r="H97" s="58" t="n">
        <ns0:v>3.670886075949367</ns0:v>
      </ns0:c>
      <ns0:c r="I97" s="66" t="n">
        <ns0:v>4.164835164835165</ns0:v>
      </ns0:c>
      <ns0:c r="J97" s="57" t="n">
        <ns0:v>2.7191011235955056</ns0:v>
      </ns0:c>
      <ns0:c r="K97" s="69" t="n">
        <ns0:v>3.52</ns0:v>
      </ns0:c>
      <ns0:c r="L97" s="57" t="n">
        <ns0:v>3.3838383838383836</ns0:v>
      </ns0:c>
      <ns0:c r="M97" s="66" t="n">
        <ns0:v>3.810344827586207</ns0:v>
      </ns0:c>
      <ns0:c r="N97" s="57" t="n">
        <ns0:v>3.278688524590164</ns0:v>
      </ns0:c>
      <ns0:c r="O97" s="66" t="n">
        <ns0:v>4.114754098360656</ns0:v>
      </ns0:c>
      <ns0:c r="P97" s="57" t="n">
        <ns0:v>3.0701754385964914</ns0:v>
      </ns0:c>
    </ns0:row>
    <ns0:row r="98" ht="22" customHeight="1">
      <ns0:c r="A98" s="53" t="str">
        <ns0:v>【指标】战斗反馈｜T2B（4–5分） ↑</ns0:v>
      </ns0:c>
      <ns0:c r="B98" s="61" t="n">
        <ns0:v>0.5222222222222223</ns0:v>
      </ns0:c>
      <ns0:c r="C98" s="67" t="n">
        <ns0:v>0.7868852459016393</ns0:v>
      </ns0:c>
      <ns0:c r="D98" s="63" t="n">
        <ns0:v>0.5087719298245614</ns0:v>
      </ns0:c>
      <ns0:c r="E98" s="65" t="n">
        <ns0:v>0.52</ns0:v>
      </ns0:c>
      <ns0:c r="F98" s="62" t="n">
        <ns0:v>0.10810810810810811</ns0:v>
      </ns0:c>
      <ns0:c r="G98" s="68" t="n">
        <ns0:v>0.46534653465346537</ns0:v>
      </ns0:c>
      <ns0:c r="H98" s="63" t="n">
        <ns0:v>0.5949367088607594</ns0:v>
      </ns0:c>
      <ns0:c r="I98" s="67" t="n">
        <ns0:v>0.8021978021978022</ns0:v>
      </ns0:c>
      <ns0:c r="J98" s="62" t="n">
        <ns0:v>0.23595505617977527</ns0:v>
      </ns0:c>
      <ns0:c r="K98" s="68" t="n">
        <ns0:v>0.56</ns0:v>
      </ns0:c>
      <ns0:c r="L98" s="62" t="n">
        <ns0:v>0.494949494949495</ns0:v>
      </ns0:c>
      <ns0:c r="M98" s="67" t="n">
        <ns0:v>0.6896551724137931</ns0:v>
      </ns0:c>
      <ns0:c r="N98" s="62" t="n">
        <ns0:v>0.4426229508196721</ns0:v>
      </ns0:c>
      <ns0:c r="O98" s="67" t="n">
        <ns0:v>0.7704918032786885</ns0:v>
      </ns0:c>
      <ns0:c r="P98" s="62" t="n">
        <ns0:v>0.37719298245614036</ns0:v>
      </ns0:c>
    </ns0:row>
    <ns0:row r="99" ht="22" customHeight="1">
      <ns0:c r="A99" s="53" t="str">
        <ns0:v>【指标】战斗反馈｜B2B（1–2分） ↓</ns0:v>
      </ns0:c>
      <ns0:c r="B99" s="61" t="n">
        <ns0:v>0.2</ns0:v>
      </ns0:c>
      <ns0:c r="C99" s="68" t="n">
        <ns0:v>0.01639344262295082</ns0:v>
      </ns0:c>
      <ns0:c r="D99" s="63" t="n">
        <ns0:v>0.21052631578947367</ns0:v>
      </ns0:c>
      <ns0:c r="E99" s="65" t="n">
        <ns0:v>0.12</ns0:v>
      </ns0:c>
      <ns0:c r="F99" s="63" t="n">
        <ns0:v>0.5405405405405406</ns0:v>
      </ns0:c>
      <ns0:c r="G99" s="67" t="n">
        <ns0:v>0.25742574257425743</ns0:v>
      </ns0:c>
      <ns0:c r="H99" s="62" t="n">
        <ns0:v>0.12658227848101267</ns0:v>
      </ns0:c>
      <ns0:c r="I99" s="68" t="n">
        <ns0:v>0</ns0:v>
      </ns0:c>
      <ns0:c r="J99" s="63" t="n">
        <ns0:v>0.4044943820224719</ns0:v>
      </ns0:c>
      <ns0:c r="K99" s="68" t="n">
        <ns0:v>0.17333333333333334</ns0:v>
      </ns0:c>
      <ns0:c r="L99" s="62" t="n">
        <ns0:v>0.2222222222222222</ns0:v>
      </ns0:c>
      <ns0:c r="M99" s="68" t="n">
        <ns0:v>0.13793103448275862</ns0:v>
      </ns0:c>
      <ns0:c r="N99" s="62" t="n">
        <ns0:v>0.22950819672131148</ns0:v>
      </ns0:c>
      <ns0:c r="O99" s="68" t="n">
        <ns0:v>0.03278688524590164</ns0:v>
      </ns0:c>
      <ns0:c r="P99" s="63" t="n">
        <ns0:v>0.2982456140350877</ns0:v>
      </ns0:c>
    </ns0:row>
    <ns0:row r="100" ht="22" customHeight="1">
      <ns0:c r="A100" s="26" t="str">
        <ns0:v>战斗反馈｜很差</ns0:v>
      </ns0:c>
      <ns0:c r="B100" s="28" t="n">
        <ns0:v>0.06111111111111111</ns0:v>
      </ns0:c>
      <ns0:c r="C100" s="44" t="n">
        <ns0:v>0</ns0:v>
      </ns0:c>
      <ns0:c r="D100" s="30" t="n">
        <ns0:v>0.05263157894736842</ns0:v>
      </ns0:c>
      <ns0:c r="E100" s="31" t="n">
        <ns0:v>0</ns0:v>
      </ns0:c>
      <ns0:c r="F100" s="30" t="n">
        <ns0:v>0.21621621621621623</ns0:v>
      </ns0:c>
      <ns0:c r="G100" s="47" t="n">
        <ns0:v>0.0891089108910891</ns0:v>
      </ns0:c>
      <ns0:c r="H100" s="29" t="n">
        <ns0:v>0.02531645569620253</ns0:v>
      </ns0:c>
      <ns0:c r="I100" s="44" t="n">
        <ns0:v>0</ns0:v>
      </ns0:c>
      <ns0:c r="J100" s="30" t="n">
        <ns0:v>0.12359550561797752</ns0:v>
      </ns0:c>
      <ns0:c r="K100" s="44" t="n">
        <ns0:v>0.06666666666666667</ns0:v>
      </ns0:c>
      <ns0:c r="L100" s="29" t="n">
        <ns0:v>0.06060606060606061</ns0:v>
      </ns0:c>
      <ns0:c r="M100" s="44" t="n">
        <ns0:v>0.034482758620689655</ns0:v>
      </ns0:c>
      <ns0:c r="N100" s="29" t="n">
        <ns0:v>0.07377049180327869</ns0:v>
      </ns0:c>
      <ns0:c r="O100" s="44" t="n">
        <ns0:v>0</ns0:v>
      </ns0:c>
      <ns0:c r="P100" s="30" t="n">
        <ns0:v>0.09649122807017543</ns0:v>
      </ns0:c>
    </ns0:row>
    <ns0:row r="101" ht="22" customHeight="1">
      <ns0:c r="A101" s="26" t="str">
        <ns0:v>战斗反馈｜较差</ns0:v>
      </ns0:c>
      <ns0:c r="B101" s="28" t="n">
        <ns0:v>0.1388888888888889</ns0:v>
      </ns0:c>
      <ns0:c r="C101" s="44" t="n">
        <ns0:v>0.01639344262295082</ns0:v>
      </ns0:c>
      <ns0:c r="D101" s="30" t="n">
        <ns0:v>0.15789473684210525</ns0:v>
      </ns0:c>
      <ns0:c r="E101" s="32" t="n">
        <ns0:v>0.12</ns0:v>
      </ns0:c>
      <ns0:c r="F101" s="30" t="n">
        <ns0:v>0.32432432432432434</ns0:v>
      </ns0:c>
      <ns0:c r="G101" s="44" t="n">
        <ns0:v>0.16831683168316833</ns0:v>
      </ns0:c>
      <ns0:c r="H101" s="29" t="n">
        <ns0:v>0.10126582278481013</ns0:v>
      </ns0:c>
      <ns0:c r="I101" s="44" t="n">
        <ns0:v>0</ns0:v>
      </ns0:c>
      <ns0:c r="J101" s="30" t="n">
        <ns0:v>0.2808988764044944</ns0:v>
      </ns0:c>
      <ns0:c r="K101" s="44" t="n">
        <ns0:v>0.10666666666666667</ns0:v>
      </ns0:c>
      <ns0:c r="L101" s="29" t="n">
        <ns0:v>0.16161616161616163</ns0:v>
      </ns0:c>
      <ns0:c r="M101" s="44" t="n">
        <ns0:v>0.10344827586206896</ns0:v>
      </ns0:c>
      <ns0:c r="N101" s="29" t="n">
        <ns0:v>0.1557377049180328</ns0:v>
      </ns0:c>
      <ns0:c r="O101" s="44" t="n">
        <ns0:v>0.03278688524590164</ns0:v>
      </ns0:c>
      <ns0:c r="P101" s="30" t="n">
        <ns0:v>0.20175438596491227</ns0:v>
      </ns0:c>
    </ns0:row>
    <ns0:row r="102" ht="22" customHeight="1">
      <ns0:c r="A102" s="26" t="str">
        <ns0:v>战斗反馈｜一般</ns0:v>
      </ns0:c>
      <ns0:c r="B102" s="28" t="n">
        <ns0:v>0.2777777777777778</ns0:v>
      </ns0:c>
      <ns0:c r="C102" s="44" t="n">
        <ns0:v>0.19672131147540983</ns0:v>
      </ns0:c>
      <ns0:c r="D102" s="29" t="n">
        <ns0:v>0.2807017543859649</ns0:v>
      </ns0:c>
      <ns0:c r="E102" s="31" t="n">
        <ns0:v>0.36</ns0:v>
      </ns0:c>
      <ns0:c r="F102" s="30" t="n">
        <ns0:v>0.35135135135135137</ns0:v>
      </ns0:c>
      <ns0:c r="G102" s="44" t="n">
        <ns0:v>0.27722772277227725</ns0:v>
      </ns0:c>
      <ns0:c r="H102" s="29" t="n">
        <ns0:v>0.27848101265822783</ns0:v>
      </ns0:c>
      <ns0:c r="I102" s="44" t="n">
        <ns0:v>0.1978021978021978</ns0:v>
      </ns0:c>
      <ns0:c r="J102" s="30" t="n">
        <ns0:v>0.3595505617977528</ns0:v>
      </ns0:c>
      <ns0:c r="K102" s="44" t="n">
        <ns0:v>0.26666666666666666</ns0:v>
      </ns0:c>
      <ns0:c r="L102" s="29" t="n">
        <ns0:v>0.2828282828282828</ns0:v>
      </ns0:c>
      <ns0:c r="M102" s="44" t="n">
        <ns0:v>0.1724137931034483</ns0:v>
      </ns0:c>
      <ns0:c r="N102" s="30" t="n">
        <ns0:v>0.32786885245901637</ns0:v>
      </ns0:c>
      <ns0:c r="O102" s="44" t="n">
        <ns0:v>0.19672131147540983</ns0:v>
      </ns0:c>
      <ns0:c r="P102" s="30" t="n">
        <ns0:v>0.32456140350877194</ns0:v>
      </ns0:c>
    </ns0:row>
    <ns0:row r="103" ht="22" customHeight="1">
      <ns0:c r="A103" s="26" t="str">
        <ns0:v>战斗反馈｜较好</ns0:v>
      </ns0:c>
      <ns0:c r="B103" s="28" t="n">
        <ns0:v>0.3333333333333333</ns0:v>
      </ns0:c>
      <ns0:c r="C103" s="47" t="n">
        <ns0:v>0.4098360655737705</ns0:v>
      </ns0:c>
      <ns0:c r="D103" s="30" t="n">
        <ns0:v>0.43859649122807015</ns0:v>
      </ns0:c>
      <ns0:c r="E103" s="32" t="n">
        <ns0:v>0.28</ns0:v>
      </ns0:c>
      <ns0:c r="F103" s="29" t="n">
        <ns0:v>0.08108108108108109</ns0:v>
      </ns0:c>
      <ns0:c r="G103" s="44" t="n">
        <ns0:v>0.3069306930693069</ns0:v>
      </ns0:c>
      <ns0:c r="H103" s="29" t="n">
        <ns0:v>0.3670886075949367</ns0:v>
      </ns0:c>
      <ns0:c r="I103" s="47" t="n">
        <ns0:v>0.43956043956043955</ns0:v>
      </ns0:c>
      <ns0:c r="J103" s="29" t="n">
        <ns0:v>0.2247191011235955</ns0:v>
      </ns0:c>
      <ns0:c r="K103" s="44" t="n">
        <ns0:v>0.36</ns0:v>
      </ns0:c>
      <ns0:c r="L103" s="29" t="n">
        <ns0:v>0.32323232323232326</ns0:v>
      </ns0:c>
      <ns0:c r="M103" s="44" t="n">
        <ns0:v>0.39655172413793105</ns0:v>
      </ns0:c>
      <ns0:c r="N103" s="29" t="n">
        <ns0:v>0.30327868852459017</ns0:v>
      </ns0:c>
      <ns0:c r="O103" s="44" t="n">
        <ns0:v>0.39344262295081966</ns0:v>
      </ns0:c>
      <ns0:c r="P103" s="29" t="n">
        <ns0:v>0.2894736842105263</ns0:v>
      </ns0:c>
    </ns0:row>
    <ns0:row r="104" ht="22" customHeight="1">
      <ns0:c r="A104" s="26" t="str">
        <ns0:v>战斗反馈｜很好</ns0:v>
      </ns0:c>
      <ns0:c r="B104" s="28" t="n">
        <ns0:v>0.18888888888888888</ns0:v>
      </ns0:c>
      <ns0:c r="C104" s="47" t="n">
        <ns0:v>0.3770491803278688</ns0:v>
      </ns0:c>
      <ns0:c r="D104" s="29" t="n">
        <ns0:v>0.07017543859649122</ns0:v>
      </ns0:c>
      <ns0:c r="E104" s="32" t="n">
        <ns0:v>0.24</ns0:v>
      </ns0:c>
      <ns0:c r="F104" s="29" t="n">
        <ns0:v>0.02702702702702703</ns0:v>
      </ns0:c>
      <ns0:c r="G104" s="44" t="n">
        <ns0:v>0.15841584158415842</ns0:v>
      </ns0:c>
      <ns0:c r="H104" s="29" t="n">
        <ns0:v>0.22784810126582278</ns0:v>
      </ns0:c>
      <ns0:c r="I104" s="47" t="n">
        <ns0:v>0.3626373626373626</ns0:v>
      </ns0:c>
      <ns0:c r="J104" s="29" t="n">
        <ns0:v>0.011235955056179775</ns0:v>
      </ns0:c>
      <ns0:c r="K104" s="44" t="n">
        <ns0:v>0.2</ns0:v>
      </ns0:c>
      <ns0:c r="L104" s="29" t="n">
        <ns0:v>0.1717171717171717</ns0:v>
      </ns0:c>
      <ns0:c r="M104" s="47" t="n">
        <ns0:v>0.29310344827586204</ns0:v>
      </ns0:c>
      <ns0:c r="N104" s="29" t="n">
        <ns0:v>0.13934426229508196</ns0:v>
      </ns0:c>
      <ns0:c r="O104" s="47" t="n">
        <ns0:v>0.3770491803278688</ns0:v>
      </ns0:c>
      <ns0:c r="P104" s="29" t="n">
        <ns0:v>0.08771929824561403</ns0:v>
      </ns0:c>
    </ns0:row>
    <ns0:row r="105" ht="22" customHeight="1">
      <ns0:c r="A105" s="51" t="str">
        <ns0:v>关卡节奏｜有效基数</ns0:v>
      </ns0:c>
      <ns0:c r="B105" s="71" t="n">
        <ns0:v>180</ns0:v>
      </ns0:c>
      <ns0:c r="C105" s="74" t="n">
        <ns0:v>61</ns0:v>
      </ns0:c>
      <ns0:c r="D105" s="72" t="n">
        <ns0:v>57</ns0:v>
      </ns0:c>
      <ns0:c r="E105" s="73" t="n">
        <ns0:v>25</ns0:v>
      </ns0:c>
      <ns0:c r="F105" s="72" t="n">
        <ns0:v>37</ns0:v>
      </ns0:c>
      <ns0:c r="G105" s="74" t="n">
        <ns0:v>101</ns0:v>
      </ns0:c>
      <ns0:c r="H105" s="72" t="n">
        <ns0:v>79</ns0:v>
      </ns0:c>
      <ns0:c r="I105" s="74" t="n">
        <ns0:v>91</ns0:v>
      </ns0:c>
      <ns0:c r="J105" s="72" t="n">
        <ns0:v>89</ns0:v>
      </ns0:c>
      <ns0:c r="K105" s="74" t="n">
        <ns0:v>75</ns0:v>
      </ns0:c>
      <ns0:c r="L105" s="72" t="n">
        <ns0:v>99</ns0:v>
      </ns0:c>
      <ns0:c r="M105" s="74" t="n">
        <ns0:v>58</ns0:v>
      </ns0:c>
      <ns0:c r="N105" s="72" t="n">
        <ns0:v>122</ns0:v>
      </ns0:c>
      <ns0:c r="O105" s="74" t="n">
        <ns0:v>61</ns0:v>
      </ns0:c>
      <ns0:c r="P105" s="72" t="n">
        <ns0:v>114</ns0:v>
      </ns0:c>
    </ns0:row>
    <ns0:row r="106" ht="22" customHeight="1">
      <ns0:c r="A106" s="53" t="str">
        <ns0:v>关卡节奏｜Mean ↑</ns0:v>
      </ns0:c>
      <ns0:c r="B106" s="56" t="n">
        <ns0:v>3.4055555555555554</ns0:v>
      </ns0:c>
      <ns0:c r="C106" s="66" t="n">
        <ns0:v>3.7049180327868854</ns0:v>
      </ns0:c>
      <ns0:c r="D106" s="58" t="n">
        <ns0:v>3.43859649122807</ns0:v>
      </ns0:c>
      <ns0:c r="E106" s="60" t="n">
        <ns0:v>3.84</ns0:v>
      </ns0:c>
      <ns0:c r="F106" s="57" t="n">
        <ns0:v>2.5675675675675675</ns0:v>
      </ns0:c>
      <ns0:c r="G106" s="69" t="n">
        <ns0:v>3.217821782178218</ns0:v>
      </ns0:c>
      <ns0:c r="H106" s="58" t="n">
        <ns0:v>3.6455696202531644</ns0:v>
      </ns0:c>
      <ns0:c r="I106" s="66" t="n">
        <ns0:v>4.153846153846154</ns0:v>
      </ns0:c>
      <ns0:c r="J106" s="57" t="n">
        <ns0:v>2.640449438202247</ns0:v>
      </ns0:c>
      <ns0:c r="K106" s="69" t="n">
        <ns0:v>3.4266666666666667</ns0:v>
      </ns0:c>
      <ns0:c r="L106" s="57" t="n">
        <ns0:v>3.3838383838383836</ns0:v>
      </ns0:c>
      <ns0:c r="M106" s="66" t="n">
        <ns0:v>3.8275862068965516</ns0:v>
      </ns0:c>
      <ns0:c r="N106" s="57" t="n">
        <ns0:v>3.2049180327868854</ns0:v>
      </ns0:c>
      <ns0:c r="O106" s="66" t="n">
        <ns0:v>4.049180327868853</ns0:v>
      </ns0:c>
      <ns0:c r="P106" s="57" t="n">
        <ns0:v>3.043859649122807</ns0:v>
      </ns0:c>
    </ns0:row>
    <ns0:row r="107" ht="22" customHeight="1">
      <ns0:c r="A107" s="53" t="str">
        <ns0:v>【指标】关卡节奏｜T2B（4–5分） ↑</ns0:v>
      </ns0:c>
      <ns0:c r="B107" s="61" t="n">
        <ns0:v>0.5055555555555555</ns0:v>
      </ns0:c>
      <ns0:c r="C107" s="67" t="n">
        <ns0:v>0.5901639344262295</ns0:v>
      </ns0:c>
      <ns0:c r="D107" s="63" t="n">
        <ns0:v>0.5263157894736842</ns0:v>
      </ns0:c>
      <ns0:c r="E107" s="65" t="n">
        <ns0:v>0.76</ns0:v>
      </ns0:c>
      <ns0:c r="F107" s="62" t="n">
        <ns0:v>0.16216216216216217</ns0:v>
      </ns0:c>
      <ns0:c r="G107" s="68" t="n">
        <ns0:v>0.4158415841584158</ns0:v>
      </ns0:c>
      <ns0:c r="H107" s="63" t="n">
        <ns0:v>0.620253164556962</ns0:v>
      </ns0:c>
      <ns0:c r="I107" s="67" t="n">
        <ns0:v>0.8461538461538461</ns0:v>
      </ns0:c>
      <ns0:c r="J107" s="62" t="n">
        <ns0:v>0.15730337078651685</ns0:v>
      </ns0:c>
      <ns0:c r="K107" s="68" t="n">
        <ns0:v>0.5066666666666667</ns0:v>
      </ns0:c>
      <ns0:c r="L107" s="62" t="n">
        <ns0:v>0.5151515151515151</ns0:v>
      </ns0:c>
      <ns0:c r="M107" s="67" t="n">
        <ns0:v>0.6206896551724138</ns0:v>
      </ns0:c>
      <ns0:c r="N107" s="62" t="n">
        <ns0:v>0.45081967213114754</ns0:v>
      </ns0:c>
      <ns0:c r="O107" s="67" t="n">
        <ns0:v>0.7540983606557377</ns0:v>
      </ns0:c>
      <ns0:c r="P107" s="62" t="n">
        <ns0:v>0.3684210526315789</ns0:v>
      </ns0:c>
    </ns0:row>
    <ns0:row r="108" ht="22" customHeight="1">
      <ns0:c r="A108" s="53" t="str">
        <ns0:v>【指标】关卡节奏｜B2B（1–2分） ↓</ns0:v>
      </ns0:c>
      <ns0:c r="B108" s="61" t="n">
        <ns0:v>0.2</ns0:v>
      </ns0:c>
      <ns0:c r="C108" s="68" t="n">
        <ns0:v>0.11475409836065574</ns0:v>
      </ns0:c>
      <ns0:c r="D108" s="62" t="n">
        <ns0:v>0.17543859649122806</ns0:v>
      </ns0:c>
      <ns0:c r="E108" s="64" t="n">
        <ns0:v>0.08</ns0:v>
      </ns0:c>
      <ns0:c r="F108" s="63" t="n">
        <ns0:v>0.4594594594594595</ns0:v>
      </ns0:c>
      <ns0:c r="G108" s="67" t="n">
        <ns0:v>0.24752475247524752</ns0:v>
      </ns0:c>
      <ns0:c r="H108" s="62" t="n">
        <ns0:v>0.13924050632911392</ns0:v>
      </ns0:c>
      <ns0:c r="I108" s="68" t="n">
        <ns0:v>0.01098901098901099</ns0:v>
      </ns0:c>
      <ns0:c r="J108" s="63" t="n">
        <ns0:v>0.39325842696629215</ns0:v>
      </ns0:c>
      <ns0:c r="K108" s="68" t="n">
        <ns0:v>0.2</ns0:v>
      </ns0:c>
      <ns0:c r="L108" s="62" t="n">
        <ns0:v>0.20202020202020202</ns0:v>
      </ns0:c>
      <ns0:c r="M108" s="68" t="n">
        <ns0:v>0.06896551724137931</ns0:v>
      </ns0:c>
      <ns0:c r="N108" s="63" t="n">
        <ns0:v>0.26229508196721313</ns0:v>
      </ns0:c>
      <ns0:c r="O108" s="68" t="n">
        <ns0:v>0.06557377049180328</ns0:v>
      </ns0:c>
      <ns0:c r="P108" s="63" t="n">
        <ns0:v>0.2807017543859649</ns0:v>
      </ns0:c>
    </ns0:row>
    <ns0:row r="109" ht="22" customHeight="1">
      <ns0:c r="A109" s="26" t="str">
        <ns0:v>关卡节奏｜很差</ns0:v>
      </ns0:c>
      <ns0:c r="B109" s="28" t="n">
        <ns0:v>0.06666666666666667</ns0:v>
      </ns0:c>
      <ns0:c r="C109" s="44" t="n">
        <ns0:v>0.01639344262295082</ns0:v>
      </ns0:c>
      <ns0:c r="D109" s="29" t="n">
        <ns0:v>0.07017543859649122</ns0:v>
      </ns0:c>
      <ns0:c r="E109" s="31" t="n">
        <ns0:v>0.04</ns0:v>
      </ns0:c>
      <ns0:c r="F109" s="30" t="n">
        <ns0:v>0.16216216216216217</ns0:v>
      </ns0:c>
      <ns0:c r="G109" s="44" t="n">
        <ns0:v>0.07920792079207921</ns0:v>
      </ns0:c>
      <ns0:c r="H109" s="29" t="n">
        <ns0:v>0.05063291139240506</ns0:v>
      </ns0:c>
      <ns0:c r="I109" s="44" t="n">
        <ns0:v>0</ns0:v>
      </ns0:c>
      <ns0:c r="J109" s="30" t="n">
        <ns0:v>0.1348314606741573</ns0:v>
      </ns0:c>
      <ns0:c r="K109" s="44" t="n">
        <ns0:v>0.05333333333333334</ns0:v>
      </ns0:c>
      <ns0:c r="L109" s="29" t="n">
        <ns0:v>0.08080808080808081</ns0:v>
      </ns0:c>
      <ns0:c r="M109" s="44" t="n">
        <ns0:v>0.017241379310344827</ns0:v>
      </ns0:c>
      <ns0:c r="N109" s="30" t="n">
        <ns0:v>0.09016393442622951</ns0:v>
      </ns0:c>
      <ns0:c r="O109" s="44" t="n">
        <ns0:v>0</ns0:v>
      </ns0:c>
      <ns0:c r="P109" s="30" t="n">
        <ns0:v>0.10526315789473684</ns0:v>
      </ns0:c>
    </ns0:row>
    <ns0:row r="110" ht="22" customHeight="1">
      <ns0:c r="A110" s="26" t="str">
        <ns0:v>关卡节奏｜较差</ns0:v>
      </ns0:c>
      <ns0:c r="B110" s="28" t="n">
        <ns0:v>0.13333333333333333</ns0:v>
      </ns0:c>
      <ns0:c r="C110" s="44" t="n">
        <ns0:v>0.09836065573770492</ns0:v>
      </ns0:c>
      <ns0:c r="D110" s="29" t="n">
        <ns0:v>0.10526315789473684</ns0:v>
      </ns0:c>
      <ns0:c r="E110" s="31" t="n">
        <ns0:v>0.04</ns0:v>
      </ns0:c>
      <ns0:c r="F110" s="30" t="n">
        <ns0:v>0.2972972972972973</ns0:v>
      </ns0:c>
      <ns0:c r="G110" s="44" t="n">
        <ns0:v>0.16831683168316833</ns0:v>
      </ns0:c>
      <ns0:c r="H110" s="29" t="n">
        <ns0:v>0.08860759493670886</ns0:v>
      </ns0:c>
      <ns0:c r="I110" s="44" t="n">
        <ns0:v>0.01098901098901099</ns0:v>
      </ns0:c>
      <ns0:c r="J110" s="30" t="n">
        <ns0:v>0.25842696629213485</ns0:v>
      </ns0:c>
      <ns0:c r="K110" s="44" t="n">
        <ns0:v>0.14666666666666667</ns0:v>
      </ns0:c>
      <ns0:c r="L110" s="29" t="n">
        <ns0:v>0.12121212121212122</ns0:v>
      </ns0:c>
      <ns0:c r="M110" s="44" t="n">
        <ns0:v>0.05172413793103448</ns0:v>
      </ns0:c>
      <ns0:c r="N110" s="30" t="n">
        <ns0:v>0.1721311475409836</ns0:v>
      </ns0:c>
      <ns0:c r="O110" s="44" t="n">
        <ns0:v>0.06557377049180328</ns0:v>
      </ns0:c>
      <ns0:c r="P110" s="30" t="n">
        <ns0:v>0.17543859649122806</ns0:v>
      </ns0:c>
    </ns0:row>
    <ns0:row r="111" ht="22" customHeight="1">
      <ns0:c r="A111" s="26" t="str">
        <ns0:v>关卡节奏｜一般</ns0:v>
      </ns0:c>
      <ns0:c r="B111" s="28" t="n">
        <ns0:v>0.29444444444444445</ns0:v>
      </ns0:c>
      <ns0:c r="C111" s="44" t="n">
        <ns0:v>0.29508196721311475</ns0:v>
      </ns0:c>
      <ns0:c r="D111" s="29" t="n">
        <ns0:v>0.2982456140350877</ns0:v>
      </ns0:c>
      <ns0:c r="E111" s="31" t="n">
        <ns0:v>0.16</ns0:v>
      </ns0:c>
      <ns0:c r="F111" s="30" t="n">
        <ns0:v>0.3783783783783784</ns0:v>
      </ns0:c>
      <ns0:c r="G111" s="44" t="n">
        <ns0:v>0.33663366336633666</ns0:v>
      </ns0:c>
      <ns0:c r="H111" s="29" t="n">
        <ns0:v>0.24050632911392406</ns0:v>
      </ns0:c>
      <ns0:c r="I111" s="44" t="n">
        <ns0:v>0.14285714285714285</ns0:v>
      </ns0:c>
      <ns0:c r="J111" s="30" t="n">
        <ns0:v>0.449438202247191</ns0:v>
      </ns0:c>
      <ns0:c r="K111" s="44" t="n">
        <ns0:v>0.29333333333333333</ns0:v>
      </ns0:c>
      <ns0:c r="L111" s="29" t="n">
        <ns0:v>0.2828282828282828</ns0:v>
      </ns0:c>
      <ns0:c r="M111" s="44" t="n">
        <ns0:v>0.3103448275862069</ns0:v>
      </ns0:c>
      <ns0:c r="N111" s="29" t="n">
        <ns0:v>0.28688524590163933</ns0:v>
      </ns0:c>
      <ns0:c r="O111" s="44" t="n">
        <ns0:v>0.18032786885245902</ns0:v>
      </ns0:c>
      <ns0:c r="P111" s="30" t="n">
        <ns0:v>0.3508771929824561</ns0:v>
      </ns0:c>
    </ns0:row>
    <ns0:row r="112" ht="22" customHeight="1">
      <ns0:c r="A112" s="26" t="str">
        <ns0:v>关卡节奏｜较好</ns0:v>
      </ns0:c>
      <ns0:c r="B112" s="28" t="n">
        <ns0:v>0.3388888888888889</ns0:v>
      </ns0:c>
      <ns0:c r="C112" s="47" t="n">
        <ns0:v>0.3442622950819672</ns0:v>
      </ns0:c>
      <ns0:c r="D112" s="30" t="n">
        <ns0:v>0.3684210526315789</ns0:v>
      </ns0:c>
      <ns0:c r="E112" s="32" t="n">
        <ns0:v>0.56</ns0:v>
      </ns0:c>
      <ns0:c r="F112" s="29" t="n">
        <ns0:v>0.13513513513513514</ns0:v>
      </ns0:c>
      <ns0:c r="G112" s="44" t="n">
        <ns0:v>0.2871287128712871</ns0:v>
      </ns0:c>
      <ns0:c r="H112" s="30" t="n">
        <ns0:v>0.4050632911392405</ns0:v>
      </ns0:c>
      <ns0:c r="I112" s="47" t="n">
        <ns0:v>0.5274725274725275</ns0:v>
      </ns0:c>
      <ns0:c r="J112" s="29" t="n">
        <ns0:v>0.14606741573033707</ns0:v>
      </ns0:c>
      <ns0:c r="K112" s="44" t="n">
        <ns0:v>0.3333333333333333</ns0:v>
      </ns0:c>
      <ns0:c r="L112" s="29" t="n">
        <ns0:v>0.36363636363636365</ns0:v>
      </ns0:c>
      <ns0:c r="M112" s="44" t="n">
        <ns0:v>0.3275862068965517</ns0:v>
      </ns0:c>
      <ns0:c r="N112" s="29" t="n">
        <ns0:v>0.3442622950819672</ns0:v>
      </ns0:c>
      <ns0:c r="O112" s="44" t="n">
        <ns0:v>0.39344262295081966</ns0:v>
      </ns0:c>
      <ns0:c r="P112" s="29" t="n">
        <ns0:v>0.30701754385964913</ns0:v>
      </ns0:c>
    </ns0:row>
    <ns0:row r="113" ht="22" customHeight="1">
      <ns0:c r="A113" s="26" t="str">
        <ns0:v>关卡节奏｜很好</ns0:v>
      </ns0:c>
      <ns0:c r="B113" s="28" t="n">
        <ns0:v>0.16666666666666666</ns0:v>
      </ns0:c>
      <ns0:c r="C113" s="47" t="n">
        <ns0:v>0.2459016393442623</ns0:v>
      </ns0:c>
      <ns0:c r="D113" s="30" t="n">
        <ns0:v>0.15789473684210525</ns0:v>
      </ns0:c>
      <ns0:c r="E113" s="32" t="n">
        <ns0:v>0.2</ns0:v>
      </ns0:c>
      <ns0:c r="F113" s="29" t="n">
        <ns0:v>0.02702702702702703</ns0:v>
      </ns0:c>
      <ns0:c r="G113" s="44" t="n">
        <ns0:v>0.12871287128712872</ns0:v>
      </ns0:c>
      <ns0:c r="H113" s="29" t="n">
        <ns0:v>0.21518987341772153</ns0:v>
      </ns0:c>
      <ns0:c r="I113" s="47" t="n">
        <ns0:v>0.31868131868131866</ns0:v>
      </ns0:c>
      <ns0:c r="J113" s="29" t="n">
        <ns0:v>0.011235955056179775</ns0:v>
      </ns0:c>
      <ns0:c r="K113" s="44" t="n">
        <ns0:v>0.17333333333333334</ns0:v>
      </ns0:c>
      <ns0:c r="L113" s="29" t="n">
        <ns0:v>0.15151515151515152</ns0:v>
      </ns0:c>
      <ns0:c r="M113" s="47" t="n">
        <ns0:v>0.29310344827586204</ns0:v>
      </ns0:c>
      <ns0:c r="N113" s="29" t="n">
        <ns0:v>0.10655737704918032</ns0:v>
      </ns0:c>
      <ns0:c r="O113" s="47" t="n">
        <ns0:v>0.36065573770491804</ns0:v>
      </ns0:c>
      <ns0:c r="P113" s="29" t="n">
        <ns0:v>0.06140350877192982</ns0:v>
      </ns0:c>
    </ns0:row>
    <ns0:row r="114" ht="22" customHeight="1">
      <ns0:c r="A114" s="51" t="str">
        <ns0:v>视觉表现｜有效基数</ns0:v>
      </ns0:c>
      <ns0:c r="B114" s="71" t="n">
        <ns0:v>180</ns0:v>
      </ns0:c>
      <ns0:c r="C114" s="74" t="n">
        <ns0:v>61</ns0:v>
      </ns0:c>
      <ns0:c r="D114" s="72" t="n">
        <ns0:v>57</ns0:v>
      </ns0:c>
      <ns0:c r="E114" s="73" t="n">
        <ns0:v>25</ns0:v>
      </ns0:c>
      <ns0:c r="F114" s="72" t="n">
        <ns0:v>37</ns0:v>
      </ns0:c>
      <ns0:c r="G114" s="74" t="n">
        <ns0:v>101</ns0:v>
      </ns0:c>
      <ns0:c r="H114" s="72" t="n">
        <ns0:v>79</ns0:v>
      </ns0:c>
      <ns0:c r="I114" s="74" t="n">
        <ns0:v>91</ns0:v>
      </ns0:c>
      <ns0:c r="J114" s="72" t="n">
        <ns0:v>89</ns0:v>
      </ns0:c>
      <ns0:c r="K114" s="74" t="n">
        <ns0:v>75</ns0:v>
      </ns0:c>
      <ns0:c r="L114" s="72" t="n">
        <ns0:v>99</ns0:v>
      </ns0:c>
      <ns0:c r="M114" s="74" t="n">
        <ns0:v>58</ns0:v>
      </ns0:c>
      <ns0:c r="N114" s="72" t="n">
        <ns0:v>122</ns0:v>
      </ns0:c>
      <ns0:c r="O114" s="74" t="n">
        <ns0:v>61</ns0:v>
      </ns0:c>
      <ns0:c r="P114" s="72" t="n">
        <ns0:v>114</ns0:v>
      </ns0:c>
    </ns0:row>
    <ns0:row r="115" ht="22" customHeight="1">
      <ns0:c r="A115" s="53" t="str">
        <ns0:v>视觉表现｜Mean ↑</ns0:v>
      </ns0:c>
      <ns0:c r="B115" s="56" t="n">
        <ns0:v>3.5166666666666666</ns0:v>
      </ns0:c>
      <ns0:c r="C115" s="66" t="n">
        <ns0:v>3.9344262295081966</ns0:v>
      </ns0:c>
      <ns0:c r="D115" s="58" t="n">
        <ns0:v>3.5964912280701755</ns0:v>
      </ns0:c>
      <ns0:c r="E115" s="60" t="n">
        <ns0:v>3.72</ns0:v>
      </ns0:c>
      <ns0:c r="F115" s="57" t="n">
        <ns0:v>2.5675675675675675</ns0:v>
      </ns0:c>
      <ns0:c r="G115" s="69" t="n">
        <ns0:v>3.386138613861386</ns0:v>
      </ns0:c>
      <ns0:c r="H115" s="58" t="n">
        <ns0:v>3.6835443037974684</ns0:v>
      </ns0:c>
      <ns0:c r="I115" s="66" t="n">
        <ns0:v>4.21978021978022</ns0:v>
      </ns0:c>
      <ns0:c r="J115" s="57" t="n">
        <ns0:v>2.797752808988764</ns0:v>
      </ns0:c>
      <ns0:c r="K115" s="69" t="n">
        <ns0:v>3.533333333333333</ns0:v>
      </ns0:c>
      <ns0:c r="L115" s="57" t="n">
        <ns0:v>3.515151515151515</ns0:v>
      </ns0:c>
      <ns0:c r="M115" s="66" t="n">
        <ns0:v>3.8448275862068964</ns0:v>
      </ns0:c>
      <ns0:c r="N115" s="57" t="n">
        <ns0:v>3.360655737704918</ns0:v>
      </ns0:c>
      <ns0:c r="O115" s="66" t="n">
        <ns0:v>4.163934426229508</ns0:v>
      </ns0:c>
      <ns0:c r="P115" s="57" t="n">
        <ns0:v>3.1578947368421053</ns0:v>
      </ns0:c>
    </ns0:row>
    <ns0:row r="116" ht="22" customHeight="1">
      <ns0:c r="A116" s="53" t="str">
        <ns0:v>【指标】视觉表现｜T2B（4–5分） ↑</ns0:v>
      </ns0:c>
      <ns0:c r="B116" s="61" t="n">
        <ns0:v>0.5388888888888889</ns0:v>
      </ns0:c>
      <ns0:c r="C116" s="67" t="n">
        <ns0:v>0.7049180327868853</ns0:v>
      </ns0:c>
      <ns0:c r="D116" s="63" t="n">
        <ns0:v>0.5789473684210527</ns0:v>
      </ns0:c>
      <ns0:c r="E116" s="65" t="n">
        <ns0:v>0.6</ns0:v>
      </ns0:c>
      <ns0:c r="F116" s="62" t="n">
        <ns0:v>0.16216216216216217</ns0:v>
      </ns0:c>
      <ns0:c r="G116" s="68" t="n">
        <ns0:v>0.4752475247524752</ns0:v>
      </ns0:c>
      <ns0:c r="H116" s="63" t="n">
        <ns0:v>0.620253164556962</ns0:v>
      </ns0:c>
      <ns0:c r="I116" s="67" t="n">
        <ns0:v>0.8351648351648352</ns0:v>
      </ns0:c>
      <ns0:c r="J116" s="62" t="n">
        <ns0:v>0.23595505617977527</ns0:v>
      </ns0:c>
      <ns0:c r="K116" s="68" t="n">
        <ns0:v>0.56</ns0:v>
      </ns0:c>
      <ns0:c r="L116" s="62" t="n">
        <ns0:v>0.5252525252525253</ns0:v>
      </ns0:c>
      <ns0:c r="M116" s="67" t="n">
        <ns0:v>0.6896551724137931</ns0:v>
      </ns0:c>
      <ns0:c r="N116" s="62" t="n">
        <ns0:v>0.4672131147540984</ns0:v>
      </ns0:c>
      <ns0:c r="O116" s="67" t="n">
        <ns0:v>0.7704918032786885</ns0:v>
      </ns0:c>
      <ns0:c r="P116" s="62" t="n">
        <ns0:v>0.41228070175438597</ns0:v>
      </ns0:c>
    </ns0:row>
    <ns0:row r="117" ht="22" customHeight="1">
      <ns0:c r="A117" s="53" t="str">
        <ns0:v>【指标】视觉表现｜B2B（1–2分） ↓</ns0:v>
      </ns0:c>
      <ns0:c r="B117" s="61" t="n">
        <ns0:v>0.2</ns0:v>
      </ns0:c>
      <ns0:c r="C117" s="68" t="n">
        <ns0:v>0.08196721311475409</ns0:v>
      </ns0:c>
      <ns0:c r="D117" s="62" t="n">
        <ns0:v>0.12280701754385964</ns0:v>
      </ns0:c>
      <ns0:c r="E117" s="64" t="n">
        <ns0:v>0.08</ns0:v>
      </ns0:c>
      <ns0:c r="F117" s="63" t="n">
        <ns0:v>0.5945945945945946</ns0:v>
      </ns0:c>
      <ns0:c r="G117" s="68" t="n">
        <ns0:v>0.21782178217821782</ns0:v>
      </ns0:c>
      <ns0:c r="H117" s="62" t="n">
        <ns0:v>0.17721518987341772</ns0:v>
      </ns0:c>
      <ns0:c r="I117" s="68" t="n">
        <ns0:v>0</ns0:v>
      </ns0:c>
      <ns0:c r="J117" s="63" t="n">
        <ns0:v>0.4044943820224719</ns0:v>
      </ns0:c>
      <ns0:c r="K117" s="68" t="n">
        <ns0:v>0.18666666666666668</ns0:v>
      </ns0:c>
      <ns0:c r="L117" s="62" t="n">
        <ns0:v>0.1919191919191919</ns0:v>
      </ns0:c>
      <ns0:c r="M117" s="68" t="n">
        <ns0:v>0.13793103448275862</ns0:v>
      </ns0:c>
      <ns0:c r="N117" s="62" t="n">
        <ns0:v>0.22950819672131148</ns0:v>
      </ns0:c>
      <ns0:c r="O117" s="68" t="n">
        <ns0:v>0</ns0:v>
      </ns0:c>
      <ns0:c r="P117" s="63" t="n">
        <ns0:v>0.3157894736842105</ns0:v>
      </ns0:c>
    </ns0:row>
    <ns0:row r="118" ht="22" customHeight="1">
      <ns0:c r="A118" s="26" t="str">
        <ns0:v>视觉表现｜很差</ns0:v>
      </ns0:c>
      <ns0:c r="B118" s="28" t="n">
        <ns0:v>0.027777777777777776</ns0:v>
      </ns0:c>
      <ns0:c r="C118" s="44" t="n">
        <ns0:v>0</ns0:v>
      </ns0:c>
      <ns0:c r="D118" s="29" t="n">
        <ns0:v>0</ns0:v>
      </ns0:c>
      <ns0:c r="E118" s="31" t="n">
        <ns0:v>0.04</ns0:v>
      </ns0:c>
      <ns0:c r="F118" s="30" t="n">
        <ns0:v>0.10810810810810811</ns0:v>
      </ns0:c>
      <ns0:c r="G118" s="47" t="n">
        <ns0:v>0.04950495049504951</ns0:v>
      </ns0:c>
      <ns0:c r="H118" s="29" t="n">
        <ns0:v>0</ns0:v>
      </ns0:c>
      <ns0:c r="I118" s="44" t="n">
        <ns0:v>0</ns0:v>
      </ns0:c>
      <ns0:c r="J118" s="30" t="n">
        <ns0:v>0.056179775280898875</ns0:v>
      </ns0:c>
      <ns0:c r="K118" s="44" t="n">
        <ns0:v>0.02666666666666667</ns0:v>
      </ns0:c>
      <ns0:c r="L118" s="29" t="n">
        <ns0:v>0.030303030303030304</ns0:v>
      </ns0:c>
      <ns0:c r="M118" s="44" t="n">
        <ns0:v>0.034482758620689655</ns0:v>
      </ns0:c>
      <ns0:c r="N118" s="29" t="n">
        <ns0:v>0.02459016393442623</ns0:v>
      </ns0:c>
      <ns0:c r="O118" s="44" t="n">
        <ns0:v>0</ns0:v>
      </ns0:c>
      <ns0:c r="P118" s="30" t="n">
        <ns0:v>0.043859649122807015</ns0:v>
      </ns0:c>
    </ns0:row>
    <ns0:row r="119" ht="22" customHeight="1">
      <ns0:c r="A119" s="26" t="str">
        <ns0:v>视觉表现｜较差</ns0:v>
      </ns0:c>
      <ns0:c r="B119" s="28" t="n">
        <ns0:v>0.17222222222222222</ns0:v>
      </ns0:c>
      <ns0:c r="C119" s="44" t="n">
        <ns0:v>0.08196721311475409</ns0:v>
      </ns0:c>
      <ns0:c r="D119" s="29" t="n">
        <ns0:v>0.12280701754385964</ns0:v>
      </ns0:c>
      <ns0:c r="E119" s="31" t="n">
        <ns0:v>0.04</ns0:v>
      </ns0:c>
      <ns0:c r="F119" s="30" t="n">
        <ns0:v>0.4864864864864865</ns0:v>
      </ns0:c>
      <ns0:c r="G119" s="44" t="n">
        <ns0:v>0.16831683168316833</ns0:v>
      </ns0:c>
      <ns0:c r="H119" s="29" t="n">
        <ns0:v>0.17721518987341772</ns0:v>
      </ns0:c>
      <ns0:c r="I119" s="44" t="n">
        <ns0:v>0</ns0:v>
      </ns0:c>
      <ns0:c r="J119" s="30" t="n">
        <ns0:v>0.34831460674157305</ns0:v>
      </ns0:c>
      <ns0:c r="K119" s="44" t="n">
        <ns0:v>0.16</ns0:v>
      </ns0:c>
      <ns0:c r="L119" s="29" t="n">
        <ns0:v>0.16161616161616163</ns0:v>
      </ns0:c>
      <ns0:c r="M119" s="44" t="n">
        <ns0:v>0.10344827586206896</ns0:v>
      </ns0:c>
      <ns0:c r="N119" s="30" t="n">
        <ns0:v>0.20491803278688525</ns0:v>
      </ns0:c>
      <ns0:c r="O119" s="44" t="n">
        <ns0:v>0</ns0:v>
      </ns0:c>
      <ns0:c r="P119" s="30" t="n">
        <ns0:v>0.2719298245614035</ns0:v>
      </ns0:c>
    </ns0:row>
    <ns0:row r="120" ht="22" customHeight="1">
      <ns0:c r="A120" s="26" t="str">
        <ns0:v>视觉表现｜一般</ns0:v>
      </ns0:c>
      <ns0:c r="B120" s="28" t="n">
        <ns0:v>0.2611111111111111</ns0:v>
      </ns0:c>
      <ns0:c r="C120" s="44" t="n">
        <ns0:v>0.21311475409836064</ns0:v>
      </ns0:c>
      <ns0:c r="D120" s="29" t="n">
        <ns0:v>0.2982456140350877</ns0:v>
      </ns0:c>
      <ns0:c r="E120" s="31" t="n">
        <ns0:v>0.32</ns0:v>
      </ns0:c>
      <ns0:c r="F120" s="29" t="n">
        <ns0:v>0.24324324324324326</ns0:v>
      </ns0:c>
      <ns0:c r="G120" s="44" t="n">
        <ns0:v>0.3069306930693069</ns0:v>
      </ns0:c>
      <ns0:c r="H120" s="29" t="n">
        <ns0:v>0.20253164556962025</ns0:v>
      </ns0:c>
      <ns0:c r="I120" s="44" t="n">
        <ns0:v>0.16483516483516483</ns0:v>
      </ns0:c>
      <ns0:c r="J120" s="30" t="n">
        <ns0:v>0.3595505617977528</ns0:v>
      </ns0:c>
      <ns0:c r="K120" s="44" t="n">
        <ns0:v>0.25333333333333335</ns0:v>
      </ns0:c>
      <ns0:c r="L120" s="29" t="n">
        <ns0:v>0.2828282828282828</ns0:v>
      </ns0:c>
      <ns0:c r="M120" s="44" t="n">
        <ns0:v>0.1724137931034483</ns0:v>
      </ns0:c>
      <ns0:c r="N120" s="30" t="n">
        <ns0:v>0.30327868852459017</ns0:v>
      </ns0:c>
      <ns0:c r="O120" s="44" t="n">
        <ns0:v>0.22950819672131148</ns0:v>
      </ns0:c>
      <ns0:c r="P120" s="29" t="n">
        <ns0:v>0.2719298245614035</ns0:v>
      </ns0:c>
    </ns0:row>
    <ns0:row r="121" ht="22" customHeight="1">
      <ns0:c r="A121" s="26" t="str">
        <ns0:v>视觉表现｜较好</ns0:v>
      </ns0:c>
      <ns0:c r="B121" s="28" t="n">
        <ns0:v>0.3333333333333333</ns0:v>
      </ns0:c>
      <ns0:c r="C121" s="47" t="n">
        <ns0:v>0.39344262295081966</ns0:v>
      </ns0:c>
      <ns0:c r="D121" s="30" t="n">
        <ns0:v>0.43859649122807015</ns0:v>
      </ns0:c>
      <ns0:c r="E121" s="32" t="n">
        <ns0:v>0.36</ns0:v>
      </ns0:c>
      <ns0:c r="F121" s="29" t="n">
        <ns0:v>0.05405405405405406</ns0:v>
      </ns0:c>
      <ns0:c r="G121" s="44" t="n">
        <ns0:v>0.297029702970297</ns0:v>
      </ns0:c>
      <ns0:c r="H121" s="29" t="n">
        <ns0:v>0.379746835443038</ns0:v>
      </ns0:c>
      <ns0:c r="I121" s="47" t="n">
        <ns0:v>0.45054945054945056</ns0:v>
      </ns0:c>
      <ns0:c r="J121" s="29" t="n">
        <ns0:v>0.21348314606741572</ns0:v>
      </ns0:c>
      <ns0:c r="K121" s="44" t="n">
        <ns0:v>0.37333333333333335</ns0:v>
      </ns0:c>
      <ns0:c r="L121" s="29" t="n">
        <ns0:v>0.31313131313131315</ns0:v>
      </ns0:c>
      <ns0:c r="M121" s="44" t="n">
        <ns0:v>0.3620689655172414</ns0:v>
      </ns0:c>
      <ns0:c r="N121" s="29" t="n">
        <ns0:v>0.319672131147541</ns0:v>
      </ns0:c>
      <ns0:c r="O121" s="44" t="n">
        <ns0:v>0.3770491803278688</ns0:v>
      </ns0:c>
      <ns0:c r="P121" s="29" t="n">
        <ns0:v>0.30701754385964913</ns0:v>
      </ns0:c>
    </ns0:row>
    <ns0:row r="122" ht="22" customHeight="1">
      <ns0:c r="A122" s="26" t="str">
        <ns0:v>视觉表现｜很好</ns0:v>
      </ns0:c>
      <ns0:c r="B122" s="28" t="n">
        <ns0:v>0.20555555555555555</ns0:v>
      </ns0:c>
      <ns0:c r="C122" s="47" t="n">
        <ns0:v>0.3114754098360656</ns0:v>
      </ns0:c>
      <ns0:c r="D122" s="29" t="n">
        <ns0:v>0.14035087719298245</ns0:v>
      </ns0:c>
      <ns0:c r="E122" s="31" t="n">
        <ns0:v>0.24</ns0:v>
      </ns0:c>
      <ns0:c r="F122" s="29" t="n">
        <ns0:v>0.10810810810810811</ns0:v>
      </ns0:c>
      <ns0:c r="G122" s="44" t="n">
        <ns0:v>0.1782178217821782</ns0:v>
      </ns0:c>
      <ns0:c r="H122" s="29" t="n">
        <ns0:v>0.24050632911392406</ns0:v>
      </ns0:c>
      <ns0:c r="I122" s="47" t="n">
        <ns0:v>0.38461538461538464</ns0:v>
      </ns0:c>
      <ns0:c r="J122" s="29" t="n">
        <ns0:v>0.02247191011235955</ns0:v>
      </ns0:c>
      <ns0:c r="K122" s="44" t="n">
        <ns0:v>0.18666666666666668</ns0:v>
      </ns0:c>
      <ns0:c r="L122" s="29" t="n">
        <ns0:v>0.21212121212121213</ns0:v>
      </ns0:c>
      <ns0:c r="M122" s="47" t="n">
        <ns0:v>0.3275862068965517</ns0:v>
      </ns0:c>
      <ns0:c r="N122" s="29" t="n">
        <ns0:v>0.14754098360655737</ns0:v>
      </ns0:c>
      <ns0:c r="O122" s="47" t="n">
        <ns0:v>0.39344262295081966</ns0:v>
      </ns0:c>
      <ns0:c r="P122" s="29" t="n">
        <ns0:v>0.10526315789473684</ns0:v>
      </ns0:c>
    </ns0:row>
    <ns0:row r="125" ht="24" customHeight="1">
      <ns0:c r="A125" s="17" t="str">
        <ns0:v>NPS 推荐意愿</ns0:v>
      </ns0:c>
      <ns0:c r="B125" s="18" t="str">
        <ns0:v>返回目录</ns0:v>
      </ns0:c>
      <ns0:c r="C125" s="17"/>
      <ns0:c r="D125" s="17"/>
      <ns0:c r="E125" s="17"/>
      <ns0:c r="F125" s="17"/>
      <ns0:c r="G125" s="17"/>
      <ns0:c r="H125" s="17"/>
      <ns0:c r="I125" s="17"/>
      <ns0:c r="J125" s="17"/>
      <ns0:c r="K125" s="17"/>
      <ns0:c r="L125" s="17"/>
      <ns0:c r="M125" s="17"/>
      <ns0:c r="N125" s="17"/>
      <ns0:c r="O125" s="17"/>
      <ns0:c r="P125" s="17"/>
    </ns0:row>
    <ns0:row r="126" ht="22" customHeight="1">
      <ns0:c r="A126" s="10" t="str">
        <ns0:v>分组族</ns0:v>
      </ns0:c>
      <ns0:c r="B126" s="11" t="str">
        <ns0:v>总体</ns0:v>
      </ns0:c>
      <ns0:c r="C126" s="41" t="str">
        <ns0:v>玩家经验互斥</ns0:v>
      </ns0:c>
      <ns0:c r="D126" s="12"/>
      <ns0:c r="E126" s="12"/>
      <ns0:c r="F126" s="12"/>
      <ns0:c r="G126" s="46" t="str">
        <ns0:v>参与平台</ns0:v>
      </ns0:c>
      <ns0:c r="H126" s="13"/>
      <ns0:c r="I126" s="48" t="str">
        <ns0:v>满意度分层</ns0:v>
      </ns0:c>
      <ns0:c r="J126" s="14"/>
      <ns0:c r="K126" s="48" t="str">
        <ns0:v>上手表现分层</ns0:v>
      </ns0:c>
      <ns0:c r="L126" s="14"/>
      <ns0:c r="M126" s="48" t="str">
        <ns0:v>继续游玩分层</ns0:v>
      </ns0:c>
      <ns0:c r="N126" s="14"/>
      <ns0:c r="O126" s="48" t="str">
        <ns0:v>推荐意愿分层</ns0:v>
      </ns0:c>
      <ns0:c r="P126" s="14"/>
    </ns0:row>
    <ns0:row r="127" ht="44" customHeight="1">
      <ns0:c r="A127" s="10" t="str">
        <ns0:v>选项 / 指标</ns0:v>
      </ns0:c>
      <ns0:c r="B127" s="11" t="str">
        <ns0:v>Total</ns0:v>
      </ns0:c>
      <ns0:c r="C127" s="41" t="str">
        <ns0:v>横版动作核心</ns0:v>
      </ns0:c>
      <ns0:c r="D127" s="12" t="str">
        <ns0:v>二游ARPG</ns0:v>
      </ns0:c>
      <ns0:c r="E127" s="12" t="str">
        <ns0:v>银河恶魔城</ns0:v>
      </ns0:c>
      <ns0:c r="F127" s="12" t="str">
        <ns0:v>泛用户</ns0:v>
      </ns0:c>
      <ns0:c r="G127" s="46" t="str">
        <ns0:v>移动端</ns0:v>
      </ns0:c>
      <ns0:c r="H127" s="13" t="str">
        <ns0:v>PC/主机</ns0:v>
      </ns0:c>
      <ns0:c r="I127" s="48" t="str">
        <ns0:v>高满意（4–5分）</ns0:v>
      </ns0:c>
      <ns0:c r="J127" s="14" t="str">
        <ns0:v>非高满意（1–3分）</ns0:v>
      </ns0:c>
      <ns0:c r="K127" s="48" t="str">
        <ns0:v>容易上手（4–5分）</ns0:v>
      </ns0:c>
      <ns0:c r="L127" s="14" t="str">
        <ns0:v>非容易上手（1–3分）</ns0:v>
      </ns0:c>
      <ns0:c r="M127" s="48" t="str">
        <ns0:v>高意愿（4–5分）</ns0:v>
      </ns0:c>
      <ns0:c r="N127" s="14" t="str">
        <ns0:v>非高意愿（1–3分）</ns0:v>
      </ns0:c>
      <ns0:c r="O127" s="48" t="str">
        <ns0:v>推荐者（9–10分） ‡</ns0:v>
      </ns0:c>
      <ns0:c r="P127" s="14" t="str">
        <ns0:v>非推荐者（0–8分） ‡</ns0:v>
      </ns0:c>
    </ns0:row>
    <ns0:row r="128">
      <ns0:c r="A128" s="20" t="str">
        <ns0:v>基数（n）：有效回答该题</ns0:v>
      </ns0:c>
      <ns0:c r="B128" s="21" t="n">
        <ns0:v>175</ns0:v>
      </ns0:c>
      <ns0:c r="C128" s="42" t="n">
        <ns0:v>59</ns0:v>
      </ns0:c>
      <ns0:c r="D128" s="21" t="n">
        <ns0:v>57</ns0:v>
      </ns0:c>
      <ns0:c r="E128" s="22" t="n">
        <ns0:v>23</ns0:v>
      </ns0:c>
      <ns0:c r="F128" s="21" t="n">
        <ns0:v>36</ns0:v>
      </ns0:c>
      <ns0:c r="G128" s="42" t="n">
        <ns0:v>100</ns0:v>
      </ns0:c>
      <ns0:c r="H128" s="21" t="n">
        <ns0:v>75</ns0:v>
      </ns0:c>
      <ns0:c r="I128" s="42" t="n">
        <ns0:v>89</ns0:v>
      </ns0:c>
      <ns0:c r="J128" s="21" t="n">
        <ns0:v>86</ns0:v>
      </ns0:c>
      <ns0:c r="K128" s="42" t="n">
        <ns0:v>73</ns0:v>
      </ns0:c>
      <ns0:c r="L128" s="21" t="n">
        <ns0:v>96</ns0:v>
      </ns0:c>
      <ns0:c r="M128" s="42" t="n">
        <ns0:v>57</ns0:v>
      </ns0:c>
      <ns0:c r="N128" s="21" t="n">
        <ns0:v>118</ns0:v>
      </ns0:c>
      <ns0:c r="O128" s="42" t="n">
        <ns0:v>61</ns0:v>
      </ns0:c>
      <ns0:c r="P128" s="21" t="n">
        <ns0:v>114</ns0:v>
      </ns0:c>
    </ns0:row>
    <ns0:row r="129" ht="26" customHeight="1">
      <ns0:c r="A129" s="25" t="str">
        <ns0:v>[Q8].你有多大可能向朋友推荐这款游戏？</ns0:v>
      </ns0:c>
      <ns0:c r="B129" s="25"/>
      <ns0:c r="C129" s="43"/>
      <ns0:c r="D129" s="25"/>
      <ns0:c r="E129" s="25"/>
      <ns0:c r="F129" s="25"/>
      <ns0:c r="G129" s="43"/>
      <ns0:c r="H129" s="25"/>
      <ns0:c r="I129" s="43"/>
      <ns0:c r="J129" s="25"/>
      <ns0:c r="K129" s="43"/>
      <ns0:c r="L129" s="25"/>
      <ns0:c r="M129" s="43"/>
      <ns0:c r="N129" s="25"/>
      <ns0:c r="O129" s="43"/>
      <ns0:c r="P129" s="25"/>
    </ns0:row>
    <ns0:row r="130" ht="22" customHeight="1">
      <ns0:c r="A130" s="53" t="str">
        <ns0:v>NPS ↑</ns0:v>
      </ns0:c>
      <ns0:c r="B130" s="75" t="n">
        <ns0:v>10.857142857142858</ns0:v>
      </ns0:c>
      <ns0:c r="C130" s="80" t="n">
        <ns0:v>44.06779661016949</ns0:v>
      </ns0:c>
      <ns0:c r="D130" s="77" t="n">
        <ns0:v>12.280701754385964</ns0:v>
      </ns0:c>
      <ns0:c r="E130" s="79" t="n">
        <ns0:v>13.043478260869565</ns0:v>
      </ns0:c>
      <ns0:c r="F130" s="76" t="n">
        <ns0:v>-47.22222222222222</ns0:v>
      </ns0:c>
      <ns0:c r="G130" s="81" t="n">
        <ns0:v>3</ns0:v>
      </ns0:c>
      <ns0:c r="H130" s="76" t="n">
        <ns0:v>21.333333333333336</ns0:v>
      </ns0:c>
      <ns0:c r="I130" s="80" t="n">
        <ns0:v>61.79775280898876</ns0:v>
      </ns0:c>
      <ns0:c r="J130" s="76" t="n">
        <ns0:v>-41.86046511627907</ns0:v>
      </ns0:c>
      <ns0:c r="K130" s="81" t="n">
        <ns0:v>6.8493150684931505</ns0:v>
      </ns0:c>
      <ns0:c r="L130" s="76" t="n">
        <ns0:v>12.5</ns0:v>
      </ns0:c>
      <ns0:c r="M130" s="80" t="n">
        <ns0:v>42.10526315789473</ns0:v>
      </ns0:c>
      <ns0:c r="N130" s="76" t="n">
        <ns0:v>-4.23728813559322</ns0:v>
      </ns0:c>
      <ns0:c r="O130" s="80" t="n">
        <ns0:v>100</ns0:v>
      </ns0:c>
      <ns0:c r="P130" s="76" t="n">
        <ns0:v>-36.84210526315789</ns0:v>
      </ns0:c>
    </ns0:row>
    <ns0:row r="131" ht="22" customHeight="1">
      <ns0:c r="A131" s="26" t="str">
        <ns0:v>批评者（0–6分）</ns0:v>
      </ns0:c>
      <ns0:c r="B131" s="28" t="n">
        <ns0:v>0.24</ns0:v>
      </ns0:c>
      <ns0:c r="C131" s="44" t="n">
        <ns0:v>0.11864406779661017</ns0:v>
      </ns0:c>
      <ns0:c r="D131" s="29" t="n">
        <ns0:v>0.15789473684210525</ns0:v>
      </ns0:c>
      <ns0:c r="E131" s="31" t="n">
        <ns0:v>0.21739130434782608</ns0:v>
      </ns0:c>
      <ns0:c r="F131" s="30" t="n">
        <ns0:v>0.5833333333333334</ns0:v>
      </ns0:c>
      <ns0:c r="G131" s="47" t="n">
        <ns0:v>0.29</ns0:v>
      </ns0:c>
      <ns0:c r="H131" s="29" t="n">
        <ns0:v>0.17333333333333334</ns0:v>
      </ns0:c>
      <ns0:c r="I131" s="44" t="n">
        <ns0:v>0</ns0:v>
      </ns0:c>
      <ns0:c r="J131" s="30" t="n">
        <ns0:v>0.4883720930232558</ns0:v>
      </ns0:c>
      <ns0:c r="K131" s="44" t="n">
        <ns0:v>0.2876712328767123</ns0:v>
      </ns0:c>
      <ns0:c r="L131" s="29" t="n">
        <ns0:v>0.20833333333333334</ns0:v>
      </ns0:c>
      <ns0:c r="M131" s="44" t="n">
        <ns0:v>0.15789473684210525</ns0:v>
      </ns0:c>
      <ns0:c r="N131" s="30" t="n">
        <ns0:v>0.2796610169491525</ns0:v>
      </ns0:c>
      <ns0:c r="O131" s="44" t="n">
        <ns0:v>0</ns0:v>
      </ns0:c>
      <ns0:c r="P131" s="30" t="n">
        <ns0:v>0.3684210526315789</ns0:v>
      </ns0:c>
    </ns0:row>
    <ns0:row r="132" ht="22" customHeight="1">
      <ns0:c r="A132" s="26" t="str">
        <ns0:v>中立者（7–8分）</ns0:v>
      </ns0:c>
      <ns0:c r="B132" s="28" t="n">
        <ns0:v>0.4114285714285714</ns0:v>
      </ns0:c>
      <ns0:c r="C132" s="44" t="n">
        <ns0:v>0.3220338983050847</ns0:v>
      </ns0:c>
      <ns0:c r="D132" s="30" t="n">
        <ns0:v>0.5614035087719298</ns0:v>
      </ns0:c>
      <ns0:c r="E132" s="31" t="n">
        <ns0:v>0.43478260869565216</ns0:v>
      </ns0:c>
      <ns0:c r="F132" s="29" t="n">
        <ns0:v>0.3055555555555556</ns0:v>
      </ns0:c>
      <ns0:c r="G132" s="44" t="n">
        <ns0:v>0.39</ns0:v>
      </ns0:c>
      <ns0:c r="H132" s="29" t="n">
        <ns0:v>0.44</ns0:v>
      </ns0:c>
      <ns0:c r="I132" s="44" t="n">
        <ns0:v>0.38202247191011235</ns0:v>
      </ns0:c>
      <ns0:c r="J132" s="29" t="n">
        <ns0:v>0.4418604651162791</ns0:v>
      </ns0:c>
      <ns0:c r="K132" s="44" t="n">
        <ns0:v>0.3561643835616438</ns0:v>
      </ns0:c>
      <ns0:c r="L132" s="29" t="n">
        <ns0:v>0.4583333333333333</ns0:v>
      </ns0:c>
      <ns0:c r="M132" s="44" t="n">
        <ns0:v>0.2631578947368421</ns0:v>
      </ns0:c>
      <ns0:c r="N132" s="30" t="n">
        <ns0:v>0.4830508474576271</ns0:v>
      </ns0:c>
      <ns0:c r="O132" s="44" t="n">
        <ns0:v>0</ns0:v>
      </ns0:c>
      <ns0:c r="P132" s="30" t="n">
        <ns0:v>0.631578947368421</ns0:v>
      </ns0:c>
    </ns0:row>
    <ns0:row r="133" ht="22" customHeight="1">
      <ns0:c r="A133" s="26" t="str">
        <ns0:v>推荐者（9–10分）</ns0:v>
      </ns0:c>
      <ns0:c r="B133" s="28" t="n">
        <ns0:v>0.3485714285714286</ns0:v>
      </ns0:c>
      <ns0:c r="C133" s="47" t="n">
        <ns0:v>0.559322033898305</ns0:v>
      </ns0:c>
      <ns0:c r="D133" s="30" t="n">
        <ns0:v>0.2807017543859649</ns0:v>
      </ns0:c>
      <ns0:c r="E133" s="32" t="n">
        <ns0:v>0.34782608695652173</ns0:v>
      </ns0:c>
      <ns0:c r="F133" s="29" t="n">
        <ns0:v>0.1111111111111111</ns0:v>
      </ns0:c>
      <ns0:c r="G133" s="44" t="n">
        <ns0:v>0.32</ns0:v>
      </ns0:c>
      <ns0:c r="H133" s="29" t="n">
        <ns0:v>0.38666666666666666</ns0:v>
      </ns0:c>
      <ns0:c r="I133" s="47" t="n">
        <ns0:v>0.6179775280898876</ns0:v>
      </ns0:c>
      <ns0:c r="J133" s="29" t="n">
        <ns0:v>0.06976744186046512</ns0:v>
      </ns0:c>
      <ns0:c r="K133" s="44" t="n">
        <ns0:v>0.3561643835616438</ns0:v>
      </ns0:c>
      <ns0:c r="L133" s="29" t="n">
        <ns0:v>0.3333333333333333</ns0:v>
      </ns0:c>
      <ns0:c r="M133" s="47" t="n">
        <ns0:v>0.5789473684210527</ns0:v>
      </ns0:c>
      <ns0:c r="N133" s="29" t="n">
        <ns0:v>0.23728813559322035</ns0:v>
      </ns0:c>
      <ns0:c r="O133" s="47" t="n">
        <ns0:v>1</ns0:v>
      </ns0:c>
      <ns0:c r="P133" s="29" t="n">
        <ns0:v>0</ns0:v>
      </ns0:c>
    </ns0:row>
    <ns0:row r="134" ht="24" customHeight="1">
      <ns0:c r="A134" s="39" t="str">
        <ns0:v>Total</ns0:v>
      </ns0:c>
      <ns0:c r="B134" s="40" t="n">
        <ns0:f>SUM('体验问卷大表'!B131,'体验问卷大表'!B132,'体验问卷大表'!B133)</ns0:f>
        <ns0:v>1</ns0:v>
      </ns0:c>
      <ns0:c r="C134" s="45" t="n">
        <ns0:f>SUM('体验问卷大表'!C131,'体验问卷大表'!C132,'体验问卷大表'!C133)</ns0:f>
        <ns0:v>1</ns0:v>
      </ns0:c>
      <ns0:c r="D134" s="40" t="n">
        <ns0:f>SUM('体验问卷大表'!D131,'体验问卷大表'!D132,'体验问卷大表'!D133)</ns0:f>
        <ns0:v>1</ns0:v>
      </ns0:c>
      <ns0:c r="E134" s="40" t="n">
        <ns0:f>SUM('体验问卷大表'!E131,'体验问卷大表'!E132,'体验问卷大表'!E133)</ns0:f>
        <ns0:v>1</ns0:v>
      </ns0:c>
      <ns0:c r="F134" s="40" t="n">
        <ns0:f>SUM('体验问卷大表'!F131,'体验问卷大表'!F132,'体验问卷大表'!F133)</ns0:f>
        <ns0:v>1</ns0:v>
      </ns0:c>
      <ns0:c r="G134" s="45" t="n">
        <ns0:f>SUM('体验问卷大表'!G131,'体验问卷大表'!G132,'体验问卷大表'!G133)</ns0:f>
        <ns0:v>1</ns0:v>
      </ns0:c>
      <ns0:c r="H134" s="40" t="n">
        <ns0:f>SUM('体验问卷大表'!H131,'体验问卷大表'!H132,'体验问卷大表'!H133)</ns0:f>
        <ns0:v>1</ns0:v>
      </ns0:c>
      <ns0:c r="I134" s="45" t="n">
        <ns0:f>SUM('体验问卷大表'!I131,'体验问卷大表'!I132,'体验问卷大表'!I133)</ns0:f>
        <ns0:v>1</ns0:v>
      </ns0:c>
      <ns0:c r="J134" s="40" t="n">
        <ns0:f>SUM('体验问卷大表'!J131,'体验问卷大表'!J132,'体验问卷大表'!J133)</ns0:f>
        <ns0:v>1</ns0:v>
      </ns0:c>
      <ns0:c r="K134" s="45" t="n">
        <ns0:f>SUM('体验问卷大表'!K131,'体验问卷大表'!K132,'体验问卷大表'!K133)</ns0:f>
        <ns0:v>0.9999999999999999</ns0:v>
      </ns0:c>
      <ns0:c r="L134" s="40" t="n">
        <ns0:f>SUM('体验问卷大表'!L131,'体验问卷大表'!L132,'体验问卷大表'!L133)</ns0:f>
        <ns0:v>1</ns0:v>
      </ns0:c>
      <ns0:c r="M134" s="45" t="n">
        <ns0:f>SUM('体验问卷大表'!M131,'体验问卷大表'!M132,'体验问卷大表'!M133)</ns0:f>
        <ns0:v>1</ns0:v>
      </ns0:c>
      <ns0:c r="N134" s="40" t="n">
        <ns0:f>SUM('体验问卷大表'!N131,'体验问卷大表'!N132,'体验问卷大表'!N133)</ns0:f>
        <ns0:v>1</ns0:v>
      </ns0:c>
      <ns0:c r="O134" s="45" t="n">
        <ns0:f>SUM('体验问卷大表'!O131,'体验问卷大表'!O132,'体验问卷大表'!O133)</ns0:f>
        <ns0:v>1</ns0:v>
      </ns0:c>
      <ns0:c r="P134" s="40" t="n">
        <ns0:f>SUM('体验问卷大表'!P131,'体验问卷大表'!P132,'体验问卷大表'!P133)</ns0:f>
        <ns0:v>1</ns0:v>
      </ns0:c>
    </ns0:row>
    <ns0:row r="137" ht="24" customHeight="1">
      <ns0:c r="A137" s="17" t="str">
        <ns0:v>优化优先级</ns0:v>
      </ns0:c>
      <ns0:c r="B137" s="18" t="str">
        <ns0:v>返回目录</ns0:v>
      </ns0:c>
      <ns0:c r="C137" s="17"/>
      <ns0:c r="D137" s="17"/>
      <ns0:c r="E137" s="17"/>
      <ns0:c r="F137" s="17"/>
      <ns0:c r="G137" s="17"/>
      <ns0:c r="H137" s="17"/>
      <ns0:c r="I137" s="17"/>
      <ns0:c r="J137" s="17"/>
      <ns0:c r="K137" s="17"/>
      <ns0:c r="L137" s="17"/>
      <ns0:c r="M137" s="17"/>
      <ns0:c r="N137" s="17"/>
      <ns0:c r="O137" s="17"/>
      <ns0:c r="P137" s="17"/>
    </ns0:row>
    <ns0:row r="138" ht="22" customHeight="1">
      <ns0:c r="A138" s="10" t="str">
        <ns0:v>分组族</ns0:v>
      </ns0:c>
      <ns0:c r="B138" s="11" t="str">
        <ns0:v>总体</ns0:v>
      </ns0:c>
      <ns0:c r="C138" s="41" t="str">
        <ns0:v>玩家经验互斥</ns0:v>
      </ns0:c>
      <ns0:c r="D138" s="12"/>
      <ns0:c r="E138" s="12"/>
      <ns0:c r="F138" s="12"/>
      <ns0:c r="G138" s="46" t="str">
        <ns0:v>参与平台</ns0:v>
      </ns0:c>
      <ns0:c r="H138" s="13"/>
      <ns0:c r="I138" s="48" t="str">
        <ns0:v>满意度分层</ns0:v>
      </ns0:c>
      <ns0:c r="J138" s="14"/>
      <ns0:c r="K138" s="48" t="str">
        <ns0:v>上手表现分层</ns0:v>
      </ns0:c>
      <ns0:c r="L138" s="14"/>
      <ns0:c r="M138" s="48" t="str">
        <ns0:v>继续游玩分层</ns0:v>
      </ns0:c>
      <ns0:c r="N138" s="14"/>
      <ns0:c r="O138" s="48" t="str">
        <ns0:v>推荐意愿分层</ns0:v>
      </ns0:c>
      <ns0:c r="P138" s="14"/>
    </ns0:row>
    <ns0:row r="139" ht="44" customHeight="1">
      <ns0:c r="A139" s="10" t="str">
        <ns0:v>选项 / 指标</ns0:v>
      </ns0:c>
      <ns0:c r="B139" s="11" t="str">
        <ns0:v>Total</ns0:v>
      </ns0:c>
      <ns0:c r="C139" s="41" t="str">
        <ns0:v>横版动作核心</ns0:v>
      </ns0:c>
      <ns0:c r="D139" s="12" t="str">
        <ns0:v>二游ARPG</ns0:v>
      </ns0:c>
      <ns0:c r="E139" s="12" t="str">
        <ns0:v>银河恶魔城</ns0:v>
      </ns0:c>
      <ns0:c r="F139" s="12" t="str">
        <ns0:v>泛用户</ns0:v>
      </ns0:c>
      <ns0:c r="G139" s="46" t="str">
        <ns0:v>移动端</ns0:v>
      </ns0:c>
      <ns0:c r="H139" s="13" t="str">
        <ns0:v>PC/主机</ns0:v>
      </ns0:c>
      <ns0:c r="I139" s="48" t="str">
        <ns0:v>高满意（4–5分）</ns0:v>
      </ns0:c>
      <ns0:c r="J139" s="14" t="str">
        <ns0:v>非高满意（1–3分）</ns0:v>
      </ns0:c>
      <ns0:c r="K139" s="48" t="str">
        <ns0:v>容易上手（4–5分）</ns0:v>
      </ns0:c>
      <ns0:c r="L139" s="14" t="str">
        <ns0:v>非容易上手（1–3分）</ns0:v>
      </ns0:c>
      <ns0:c r="M139" s="48" t="str">
        <ns0:v>高意愿（4–5分）</ns0:v>
      </ns0:c>
      <ns0:c r="N139" s="14" t="str">
        <ns0:v>非高意愿（1–3分）</ns0:v>
      </ns0:c>
      <ns0:c r="O139" s="48" t="str">
        <ns0:v>推荐者（9–10分）</ns0:v>
      </ns0:c>
      <ns0:c r="P139" s="14" t="str">
        <ns0:v>非推荐者（0–8分）</ns0:v>
      </ns0:c>
    </ns0:row>
    <ns0:row r="140">
      <ns0:c r="A140" s="20" t="str">
        <ns0:v>基数（n）：有效回答该题</ns0:v>
      </ns0:c>
      <ns0:c r="B140" s="21" t="n">
        <ns0:v>180</ns0:v>
      </ns0:c>
      <ns0:c r="C140" s="42" t="n">
        <ns0:v>61</ns0:v>
      </ns0:c>
      <ns0:c r="D140" s="21" t="n">
        <ns0:v>57</ns0:v>
      </ns0:c>
      <ns0:c r="E140" s="22" t="n">
        <ns0:v>25</ns0:v>
      </ns0:c>
      <ns0:c r="F140" s="21" t="n">
        <ns0:v>37</ns0:v>
      </ns0:c>
      <ns0:c r="G140" s="42" t="n">
        <ns0:v>101</ns0:v>
      </ns0:c>
      <ns0:c r="H140" s="21" t="n">
        <ns0:v>79</ns0:v>
      </ns0:c>
      <ns0:c r="I140" s="42" t="n">
        <ns0:v>91</ns0:v>
      </ns0:c>
      <ns0:c r="J140" s="21" t="n">
        <ns0:v>89</ns0:v>
      </ns0:c>
      <ns0:c r="K140" s="42" t="n">
        <ns0:v>75</ns0:v>
      </ns0:c>
      <ns0:c r="L140" s="21" t="n">
        <ns0:v>99</ns0:v>
      </ns0:c>
      <ns0:c r="M140" s="42" t="n">
        <ns0:v>58</ns0:v>
      </ns0:c>
      <ns0:c r="N140" s="21" t="n">
        <ns0:v>122</ns0:v>
      </ns0:c>
      <ns0:c r="O140" s="42" t="n">
        <ns0:v>61</ns0:v>
      </ns0:c>
      <ns0:c r="P140" s="21" t="n">
        <ns0:v>114</ns0:v>
      </ns0:c>
    </ns0:row>
    <ns0:row r="141" ht="26" customHeight="1">
      <ns0:c r="A141" s="25" t="str">
        <ns0:v>[Q9].请选出最希望优先优化的三项并排序。</ns0:v>
      </ns0:c>
      <ns0:c r="B141" s="25"/>
      <ns0:c r="C141" s="43"/>
      <ns0:c r="D141" s="25"/>
      <ns0:c r="E141" s="25"/>
      <ns0:c r="F141" s="25"/>
      <ns0:c r="G141" s="43"/>
      <ns0:c r="H141" s="25"/>
      <ns0:c r="I141" s="43"/>
      <ns0:c r="J141" s="25"/>
      <ns0:c r="K141" s="43"/>
      <ns0:c r="L141" s="25"/>
      <ns0:c r="M141" s="43"/>
      <ns0:c r="N141" s="25"/>
      <ns0:c r="O141" s="43"/>
      <ns0:c r="P141" s="25"/>
    </ns0:row>
    <ns0:row r="142" ht="22" customHeight="1">
      <ns0:c r="A142" s="26" t="str">
        <ns0:v>新手引导</ns0:v>
      </ns0:c>
      <ns0:c r="B142" s="28" t="n">
        <ns0:v>0.8277777777777777</ns0:v>
      </ns0:c>
      <ns0:c r="C142" s="44" t="n">
        <ns0:v>0.7213114754098361</ns0:v>
      </ns0:c>
      <ns0:c r="D142" s="30" t="n">
        <ns0:v>0.9122807017543859</ns0:v>
      </ns0:c>
      <ns0:c r="E142" s="31" t="n">
        <ns0:v>0.8</ns0:v>
      </ns0:c>
      <ns0:c r="F142" s="30" t="n">
        <ns0:v>0.8918918918918919</ns0:v>
      </ns0:c>
      <ns0:c r="G142" s="44" t="n">
        <ns0:v>0.7722772277227723</ns0:v>
      </ns0:c>
      <ns0:c r="H142" s="30" t="n">
        <ns0:v>0.8987341772151899</ns0:v>
      </ns0:c>
      <ns0:c r="I142" s="47" t="n">
        <ns0:v>0.9120879120879121</ns0:v>
      </ns0:c>
      <ns0:c r="J142" s="29" t="n">
        <ns0:v>0.7415730337078652</ns0:v>
      </ns0:c>
      <ns0:c r="K142" s="44" t="n">
        <ns0:v>0.5866666666666667</ns0:v>
      </ns0:c>
      <ns0:c r="L142" s="30" t="n">
        <ns0:v>1</ns0:v>
      </ns0:c>
      <ns0:c r="M142" s="44" t="n">
        <ns0:v>0.8448275862068966</ns0:v>
      </ns0:c>
      <ns0:c r="N142" s="29" t="n">
        <ns0:v>0.819672131147541</ns0:v>
      </ns0:c>
      <ns0:c r="O142" s="47" t="n">
        <ns0:v>0.9344262295081968</ns0:v>
      </ns0:c>
      <ns0:c r="P142" s="29" t="n">
        <ns0:v>0.7719298245614035</ns0:v>
      </ns0:c>
    </ns0:row>
    <ns0:row r="143" ht="22" customHeight="1">
      <ns0:c r="A143" s="53" t="str">
        <ns0:v>新手引导（平均名次） ↓</ns0:v>
      </ns0:c>
      <ns0:c r="B143" s="56" t="n">
        <ns0:v>1.5906040268456376</ns0:v>
      </ns0:c>
      <ns0:c r="C143" s="66" t="n">
        <ns0:v>1.6818181818181819</ns0:v>
      </ns0:c>
      <ns0:c r="D143" s="58" t="n">
        <ns0:v>1.5769230769230769</ns0:v>
      </ns0:c>
      <ns0:c r="E143" s="59" t="n">
        <ns0:v>1.1</ns0:v>
      </ns0:c>
      <ns0:c r="F143" s="58" t="n">
        <ns0:v>1.7878787878787878</ns0:v>
      </ns0:c>
      <ns0:c r="G143" s="69" t="n">
        <ns0:v>1.6666666666666667</ns0:v>
      </ns0:c>
      <ns0:c r="H143" s="57" t="n">
        <ns0:v>1.5070422535211268</ns0:v>
      </ns0:c>
      <ns0:c r="I143" s="69" t="n">
        <ns0:v>1.3734939759036144</ns0:v>
      </ns0:c>
      <ns0:c r="J143" s="58" t="n">
        <ns0:v>1.8636363636363635</ns0:v>
      </ns0:c>
      <ns0:c r="K143" s="66" t="n">
        <ns0:v>2.1136363636363638</ns0:v>
      </ns0:c>
      <ns0:c r="L143" s="57" t="n">
        <ns0:v>1.3333333333333333</ns0:v>
      </ns0:c>
      <ns0:c r="M143" s="69" t="n">
        <ns0:v>1.510204081632653</ns0:v>
      </ns0:c>
      <ns0:c r="N143" s="57" t="n">
        <ns0:v>1.63</ns0:v>
      </ns0:c>
      <ns0:c r="O143" s="69" t="n">
        <ns0:v>1.4912280701754386</ns0:v>
      </ns0:c>
      <ns0:c r="P143" s="57" t="n">
        <ns0:v>1.6704545454545454</ns0:v>
      </ns0:c>
    </ns0:row>
    <ns0:row r="144" ht="22" customHeight="1">
      <ns0:c r="A144" s="26" t="str">
        <ns0:v>战斗反馈</ns0:v>
      </ns0:c>
      <ns0:c r="B144" s="28" t="n">
        <ns0:v>0.8444444444444444</ns0:v>
      </ns0:c>
      <ns0:c r="C144" s="44" t="n">
        <ns0:v>0.8032786885245902</ns0:v>
      </ns0:c>
      <ns0:c r="D144" s="30" t="n">
        <ns0:v>0.9122807017543859</ns0:v>
      </ns0:c>
      <ns0:c r="E144" s="31" t="n">
        <ns0:v>0.72</ns0:v>
      </ns0:c>
      <ns0:c r="F144" s="30" t="n">
        <ns0:v>0.8918918918918919</ns0:v>
      </ns0:c>
      <ns0:c r="G144" s="44" t="n">
        <ns0:v>0.8811881188118812</ns0:v>
      </ns0:c>
      <ns0:c r="H144" s="29" t="n">
        <ns0:v>0.7974683544303798</ns0:v>
      </ns0:c>
      <ns0:c r="I144" s="44" t="n">
        <ns0:v>0.8241758241758241</ns0:v>
      </ns0:c>
      <ns0:c r="J144" s="29" t="n">
        <ns0:v>0.8651685393258427</ns0:v>
      </ns0:c>
      <ns0:c r="K144" s="47" t="n">
        <ns0:v>0.9066666666666666</ns0:v>
      </ns0:c>
      <ns0:c r="L144" s="29" t="n">
        <ns0:v>0.8080808080808081</ns0:v>
      </ns0:c>
      <ns0:c r="M144" s="44" t="n">
        <ns0:v>0.8275862068965517</ns0:v>
      </ns0:c>
      <ns0:c r="N144" s="29" t="n">
        <ns0:v>0.8524590163934426</ns0:v>
      </ns0:c>
      <ns0:c r="O144" s="44" t="n">
        <ns0:v>0.8032786885245902</ns0:v>
      </ns0:c>
      <ns0:c r="P144" s="29" t="n">
        <ns0:v>0.868421052631579</ns0:v>
      </ns0:c>
    </ns0:row>
    <ns0:row r="145" ht="22" customHeight="1">
      <ns0:c r="A145" s="53" t="str">
        <ns0:v>战斗反馈（平均名次） ↓</ns0:v>
      </ns0:c>
      <ns0:c r="B145" s="56" t="n">
        <ns0:v>1.881578947368421</ns0:v>
      </ns0:c>
      <ns0:c r="C145" s="69" t="n">
        <ns0:v>1.9183673469387754</ns0:v>
      </ns0:c>
      <ns0:c r="D145" s="57" t="n">
        <ns0:v>1.9423076923076923</ns0:v>
      </ns0:c>
      <ns0:c r="E145" s="59" t="n">
        <ns0:v>1.8333333333333333</ns0:v>
      </ns0:c>
      <ns0:c r="F145" s="57" t="n">
        <ns0:v>1.7575757575757576</ns0:v>
      </ns0:c>
      <ns0:c r="G145" s="69" t="n">
        <ns0:v>1.8876404494382022</ns0:v>
      </ns0:c>
      <ns0:c r="H145" s="57" t="n">
        <ns0:v>1.873015873015873</ns0:v>
      </ns0:c>
      <ns0:c r="I145" s="66" t="n">
        <ns0:v>2.1066666666666665</ns0:v>
      </ns0:c>
      <ns0:c r="J145" s="57" t="n">
        <ns0:v>1.6623376623376624</ns0:v>
      </ns0:c>
      <ns0:c r="K145" s="69" t="n">
        <ns0:v>1.6176470588235294</ns0:v>
      </ns0:c>
      <ns0:c r="L145" s="58" t="n">
        <ns0:v>2.125</ns0:v>
      </ns0:c>
      <ns0:c r="M145" s="69" t="n">
        <ns0:v>1.9791666666666667</ns0:v>
      </ns0:c>
      <ns0:c r="N145" s="57" t="n">
        <ns0:v>1.8365384615384615</ns0:v>
      </ns0:c>
      <ns0:c r="O145" s="66" t="n">
        <ns0:v>2.0816326530612246</ns0:v>
      </ns0:c>
      <ns0:c r="P145" s="57" t="n">
        <ns0:v>1.7878787878787878</ns0:v>
      </ns0:c>
    </ns0:row>
    <ns0:row r="146" ht="22" customHeight="1">
      <ns0:c r="A146" s="26" t="str">
        <ns0:v>关卡节奏</ns0:v>
      </ns0:c>
      <ns0:c r="B146" s="28" t="n">
        <ns0:v>0.7166666666666667</ns0:v>
      </ns0:c>
      <ns0:c r="C146" s="44" t="n">
        <ns0:v>0.7213114754098361</ns0:v>
      </ns0:c>
      <ns0:c r="D146" s="29" t="n">
        <ns0:v>0.7017543859649122</ns0:v>
      </ns0:c>
      <ns0:c r="E146" s="31" t="n">
        <ns0:v>0.56</ns0:v>
      </ns0:c>
      <ns0:c r="F146" s="30" t="n">
        <ns0:v>0.8378378378378378</ns0:v>
      </ns0:c>
      <ns0:c r="G146" s="44" t="n">
        <ns0:v>0.7623762376237624</ns0:v>
      </ns0:c>
      <ns0:c r="H146" s="29" t="n">
        <ns0:v>0.6582278481012658</ns0:v>
      </ns0:c>
      <ns0:c r="I146" s="44" t="n">
        <ns0:v>0.5934065934065934</ns0:v>
      </ns0:c>
      <ns0:c r="J146" s="30" t="n">
        <ns0:v>0.8426966292134831</ns0:v>
      </ns0:c>
      <ns0:c r="K146" s="44" t="n">
        <ns0:v>0.7066666666666667</ns0:v>
      </ns0:c>
      <ns0:c r="L146" s="29" t="n">
        <ns0:v>0.7373737373737373</ns0:v>
      </ns0:c>
      <ns0:c r="M146" s="44" t="n">
        <ns0:v>0.6379310344827587</ns0:v>
      </ns0:c>
      <ns0:c r="N146" s="29" t="n">
        <ns0:v>0.7540983606557377</ns0:v>
      </ns0:c>
      <ns0:c r="O146" s="44" t="n">
        <ns0:v>0.6065573770491803</ns0:v>
      </ns0:c>
      <ns0:c r="P146" s="30" t="n">
        <ns0:v>0.7807017543859649</ns0:v>
      </ns0:c>
    </ns0:row>
    <ns0:row r="147" ht="22" customHeight="1">
      <ns0:c r="A147" s="53" t="str">
        <ns0:v>关卡节奏（平均名次） ↓</ns0:v>
      </ns0:c>
      <ns0:c r="B147" s="56" t="n">
        <ns0:v>2.10077519379845</ns0:v>
      </ns0:c>
      <ns0:c r="C147" s="69" t="n">
        <ns0:v>1.8636363636363635</ns0:v>
      </ns0:c>
      <ns0:c r="D147" s="58" t="n">
        <ns0:v>2.275</ns0:v>
      </ns0:c>
      <ns0:c r="E147" s="59" t="n">
        <ns0:v>2.0714285714285716</ns0:v>
      </ns0:c>
      <ns0:c r="F147" s="58" t="n">
        <ns0:v>2.225806451612903</ns0:v>
      </ns0:c>
      <ns0:c r="G147" s="69" t="n">
        <ns0:v>1.9870129870129871</ns0:v>
      </ns0:c>
      <ns0:c r="H147" s="58" t="n">
        <ns0:v>2.269230769230769</ns0:v>
      </ns0:c>
      <ns0:c r="I147" s="69" t="n">
        <ns0:v>2.2222222222222223</ns0:v>
      </ns0:c>
      <ns0:c r="J147" s="57" t="n">
        <ns0:v>2.013333333333333</ns0:v>
      </ns0:c>
      <ns0:c r="K147" s="69" t="n">
        <ns0:v>1.8113207547169812</ns0:v>
      </ns0:c>
      <ns0:c r="L147" s="58" t="n">
        <ns0:v>2.315068493150685</ns0:v>
      </ns0:c>
      <ns0:c r="M147" s="69" t="n">
        <ns0:v>2.054054054054054</ns0:v>
      </ns0:c>
      <ns0:c r="N147" s="57" t="n">
        <ns0:v>2.119565217391304</ns0:v>
      </ns0:c>
      <ns0:c r="O147" s="69" t="n">
        <ns0:v>2.189189189189189</ns0:v>
      </ns0:c>
      <ns0:c r="P147" s="57" t="n">
        <ns0:v>2.067415730337079</ns0:v>
      </ns0:c>
    </ns0:row>
    <ns0:row r="148" ht="22" customHeight="1">
      <ns0:c r="A148" s="26" t="str">
        <ns0:v>剧情演出</ns0:v>
      </ns0:c>
      <ns0:c r="B148" s="28" t="n">
        <ns0:v>0.5222222222222223</ns0:v>
      </ns0:c>
      <ns0:c r="C148" s="47" t="n">
        <ns0:v>0.5737704918032787</ns0:v>
      </ns0:c>
      <ns0:c r="D148" s="29" t="n">
        <ns0:v>0.45614035087719296</ns0:v>
      </ns0:c>
      <ns0:c r="E148" s="32" t="n">
        <ns0:v>0.76</ns0:v>
      </ns0:c>
      <ns0:c r="F148" s="29" t="n">
        <ns0:v>0.3783783783783784</ns0:v>
      </ns0:c>
      <ns0:c r="G148" s="44" t="n">
        <ns0:v>0.5346534653465347</ns0:v>
      </ns0:c>
      <ns0:c r="H148" s="29" t="n">
        <ns0:v>0.5063291139240507</ns0:v>
      </ns0:c>
      <ns0:c r="I148" s="44" t="n">
        <ns0:v>0.4945054945054945</ns0:v>
      </ns0:c>
      <ns0:c r="J148" s="29" t="n">
        <ns0:v>0.550561797752809</ns0:v>
      </ns0:c>
      <ns0:c r="K148" s="47" t="n">
        <ns0:v>0.7066666666666667</ns0:v>
      </ns0:c>
      <ns0:c r="L148" s="29" t="n">
        <ns0:v>0.3838383838383838</ns0:v>
      </ns0:c>
      <ns0:c r="M148" s="44" t="n">
        <ns0:v>0.5172413793103449</ns0:v>
      </ns0:c>
      <ns0:c r="N148" s="29" t="n">
        <ns0:v>0.5245901639344263</ns0:v>
      </ns0:c>
      <ns0:c r="O148" s="44" t="n">
        <ns0:v>0.45901639344262296</ns0:v>
      </ns0:c>
      <ns0:c r="P148" s="29" t="n">
        <ns0:v>0.543859649122807</ns0:v>
      </ns0:c>
    </ns0:row>
    <ns0:row r="149" ht="22" customHeight="1">
      <ns0:c r="A149" s="53" t="str">
        <ns0:v>剧情演出（平均名次） ↓</ns0:v>
      </ns0:c>
      <ns0:c r="B149" s="56" t="n">
        <ns0:v>2.595744680851064</ns0:v>
      </ns0:c>
      <ns0:c r="C149" s="69" t="n">
        <ns0:v>2.5142857142857142</ns0:v>
      </ns0:c>
      <ns0:c r="D149" s="59" t="n">
        <ns0:v>2.5384615384615383</ns0:v>
      </ns0:c>
      <ns0:c r="E149" s="60" t="n">
        <ns0:v>2.8421052631578947</ns0:v>
      </ns0:c>
      <ns0:c r="F149" s="59" t="n">
        <ns0:v>2.5714285714285716</ns0:v>
      </ns0:c>
      <ns0:c r="G149" s="69" t="n">
        <ns0:v>2.5925925925925926</ns0:v>
      </ns0:c>
      <ns0:c r="H149" s="57" t="n">
        <ns0:v>2.6</ns0:v>
      </ns0:c>
      <ns0:c r="I149" s="69" t="n">
        <ns0:v>2.488888888888889</ns0:v>
      </ns0:c>
      <ns0:c r="J149" s="57" t="n">
        <ns0:v>2.693877551020408</ns0:v>
      </ns0:c>
      <ns0:c r="K149" s="69" t="n">
        <ns0:v>2.509433962264151</ns0:v>
      </ns0:c>
      <ns0:c r="L149" s="58" t="n">
        <ns0:v>2.763157894736842</ns0:v>
      </ns0:c>
      <ns0:c r="M149" s="69" t="n">
        <ns0:v>2.533333333333333</ns0:v>
      </ns0:c>
      <ns0:c r="N149" s="57" t="n">
        <ns0:v>2.625</ns0:v>
      </ns0:c>
      <ns0:c r="O149" s="83" t="n">
        <ns0:v>2.357142857142857</ns0:v>
      </ns0:c>
      <ns0:c r="P149" s="58" t="n">
        <ns0:v>2.6774193548387095</ns0:v>
      </ns0:c>
    </ns0:row>
    <ns0:row r="150" ht="22" customHeight="1">
      <ns0:c r="A150" s="26" t="str">
        <ns0:v>性能优化</ns0:v>
      </ns0:c>
      <ns0:c r="B150" s="28" t="n">
        <ns0:v>0.08888888888888889</ns0:v>
      </ns0:c>
      <ns0:c r="C150" s="47" t="n">
        <ns0:v>0.18032786885245902</ns0:v>
      </ns0:c>
      <ns0:c r="D150" s="29" t="n">
        <ns0:v>0.017543859649122806</ns0:v>
      </ns0:c>
      <ns0:c r="E150" s="32" t="n">
        <ns0:v>0.16</ns0:v>
      </ns0:c>
      <ns0:c r="F150" s="29" t="n">
        <ns0:v>0</ns0:v>
      </ns0:c>
      <ns0:c r="G150" s="44" t="n">
        <ns0:v>0.04950495049504951</ns0:v>
      </ns0:c>
      <ns0:c r="H150" s="30" t="n">
        <ns0:v>0.13924050632911392</ns0:v>
      </ns0:c>
      <ns0:c r="I150" s="47" t="n">
        <ns0:v>0.17582417582417584</ns0:v>
      </ns0:c>
      <ns0:c r="J150" s="29" t="n">
        <ns0:v>0</ns0:v>
      </ns0:c>
      <ns0:c r="K150" s="44" t="n">
        <ns0:v>0.09333333333333334</ns0:v>
      </ns0:c>
      <ns0:c r="L150" s="29" t="n">
        <ns0:v>0.0707070707070707</ns0:v>
      </ns0:c>
      <ns0:c r="M150" s="47" t="n">
        <ns0:v>0.1724137931034483</ns0:v>
      </ns0:c>
      <ns0:c r="N150" s="29" t="n">
        <ns0:v>0.04918032786885246</ns0:v>
      </ns0:c>
      <ns0:c r="O150" s="47" t="n">
        <ns0:v>0.19672131147540983</ns0:v>
      </ns0:c>
      <ns0:c r="P150" s="29" t="n">
        <ns0:v>0.03508771929824561</ns0:v>
      </ns0:c>
    </ns0:row>
    <ns0:row r="151" ht="22" customHeight="1">
      <ns0:c r="A151" s="53" t="str">
        <ns0:v>性能优化（平均名次） ↓</ns0:v>
      </ns0:c>
      <ns0:c r="B151" s="82" t="n">
        <ns0:v>2.625</ns0:v>
      </ns0:c>
      <ns0:c r="C151" s="83" t="n">
        <ns0:v>2.5454545454545454</ns0:v>
      </ns0:c>
      <ns0:c r="D151" s="59" t="n">
        <ns0:v>2</ns0:v>
      </ns0:c>
      <ns0:c r="E151" s="60" t="n">
        <ns0:v>3</ns0:v>
      </ns0:c>
      <ns0:c r="F151" s="54" t="str">
        <ns0:v>—</ns0:v>
      </ns0:c>
      <ns0:c r="G151" s="84" t="n">
        <ns0:v>3</ns0:v>
      </ns0:c>
      <ns0:c r="H151" s="59" t="n">
        <ns0:v>2.4545454545454546</ns0:v>
      </ns0:c>
      <ns0:c r="I151" s="83" t="n">
        <ns0:v>2.625</ns0:v>
      </ns0:c>
      <ns0:c r="J151" s="54" t="str">
        <ns0:v>—</ns0:v>
      </ns0:c>
      <ns0:c r="K151" s="83" t="n">
        <ns0:v>2.5714285714285716</ns0:v>
      </ns0:c>
      <ns0:c r="L151" s="59" t="n">
        <ns0:v>2.5714285714285716</ns0:v>
      </ns0:c>
      <ns0:c r="M151" s="83" t="n">
        <ns0:v>2.7</ns0:v>
      </ns0:c>
      <ns0:c r="N151" s="59" t="n">
        <ns0:v>2.5</ns0:v>
      </ns0:c>
      <ns0:c r="O151" s="83" t="n">
        <ns0:v>2.6666666666666665</ns0:v>
      </ns0:c>
      <ns0:c r="P151" s="59" t="n">
        <ns0:v>2.5</ns0:v>
      </ns0:c>
    </ns0:row>
    <ns0:row r="152" ht="24" customHeight="1">
      <ns0:c r="A152" s="39" t="str">
        <ns0:v>选择率合计（可超过100%）</ns0:v>
      </ns0:c>
      <ns0:c r="B152" s="40" t="n">
        <ns0:f>SUM('体验问卷大表'!B142,'体验问卷大表'!B144,'体验问卷大表'!B146,'体验问卷大表'!B148,'体验问卷大表'!B150)</ns0:f>
        <ns0:v>3</ns0:v>
      </ns0:c>
      <ns0:c r="C152" s="45" t="n">
        <ns0:f>SUM('体验问卷大表'!C142,'体验问卷大表'!C144,'体验问卷大表'!C146,'体验问卷大表'!C148,'体验问卷大表'!C150)</ns0:f>
        <ns0:v>3</ns0:v>
      </ns0:c>
      <ns0:c r="D152" s="40" t="n">
        <ns0:f>SUM('体验问卷大表'!D142,'体验问卷大表'!D144,'体验问卷大表'!D146,'体验问卷大表'!D148,'体验问卷大表'!D150)</ns0:f>
        <ns0:v>3</ns0:v>
      </ns0:c>
      <ns0:c r="E152" s="40" t="n">
        <ns0:f>SUM('体验问卷大表'!E142,'体验问卷大表'!E144,'体验问卷大表'!E146,'体验问卷大表'!E148,'体验问卷大表'!E150)</ns0:f>
        <ns0:v>3</ns0:v>
      </ns0:c>
      <ns0:c r="F152" s="40" t="n">
        <ns0:f>SUM('体验问卷大表'!F142,'体验问卷大表'!F144,'体验问卷大表'!F146,'体验问卷大表'!F148,'体验问卷大表'!F150)</ns0:f>
        <ns0:v>3</ns0:v>
      </ns0:c>
      <ns0:c r="G152" s="45" t="n">
        <ns0:f>SUM('体验问卷大表'!G142,'体验问卷大表'!G144,'体验问卷大表'!G146,'体验问卷大表'!G148,'体验问卷大表'!G150)</ns0:f>
        <ns0:v>3.0000000000000004</ns0:v>
      </ns0:c>
      <ns0:c r="H152" s="40" t="n">
        <ns0:f>SUM('体验问卷大表'!H142,'体验问卷大表'!H144,'体验问卷大表'!H146,'体验问卷大表'!H148,'体验问卷大表'!H150)</ns0:f>
        <ns0:v>3</ns0:v>
      </ns0:c>
      <ns0:c r="I152" s="45" t="n">
        <ns0:f>SUM('体验问卷大表'!I142,'体验问卷大表'!I144,'体验问卷大表'!I146,'体验问卷大表'!I148,'体验问卷大表'!I150)</ns0:f>
        <ns0:v>3</ns0:v>
      </ns0:c>
      <ns0:c r="J152" s="40" t="n">
        <ns0:f>SUM('体验问卷大表'!J142,'体验问卷大表'!J144,'体验问卷大表'!J146,'体验问卷大表'!J148,'体验问卷大表'!J150)</ns0:f>
        <ns0:v>3</ns0:v>
      </ns0:c>
      <ns0:c r="K152" s="45" t="n">
        <ns0:f>SUM('体验问卷大表'!K142,'体验问卷大表'!K144,'体验问卷大表'!K146,'体验问卷大表'!K148,'体验问卷大表'!K150)</ns0:f>
        <ns0:v>2.9999999999999996</ns0:v>
      </ns0:c>
      <ns0:c r="L152" s="40" t="n">
        <ns0:f>SUM('体验问卷大表'!L142,'体验问卷大表'!L144,'体验问卷大表'!L146,'体验问卷大表'!L148,'体验问卷大表'!L150)</ns0:f>
        <ns0:v>2.9999999999999996</ns0:v>
      </ns0:c>
      <ns0:c r="M152" s="45" t="n">
        <ns0:f>SUM('体验问卷大表'!M142,'体验问卷大表'!M144,'体验问卷大表'!M146,'体验问卷大表'!M148,'体验问卷大表'!M150)</ns0:f>
        <ns0:v>3.0000000000000004</ns0:v>
      </ns0:c>
      <ns0:c r="N152" s="40" t="n">
        <ns0:f>SUM('体验问卷大表'!N142,'体验问卷大表'!N144,'体验问卷大表'!N146,'体验问卷大表'!N148,'体验问卷大表'!N150)</ns0:f>
        <ns0:v>3</ns0:v>
      </ns0:c>
      <ns0:c r="O152" s="45" t="n">
        <ns0:f>SUM('体验问卷大表'!O142,'体验问卷大表'!O144,'体验问卷大表'!O146,'体验问卷大表'!O148,'体验问卷大表'!O150)</ns0:f>
        <ns0:v>3</ns0:v>
      </ns0:c>
      <ns0:c r="P152" s="40" t="n">
        <ns0:f>SUM('体验问卷大表'!P142,'体验问卷大表'!P144,'体验问卷大表'!P146,'体验问卷大表'!P148,'体验问卷大表'!P150)</ns0:f>
        <ns0:v>3</ns0:v>
      </ns0:c>
    </ns0:row>
    <ns0:row r="155" ht="24" customHeight="1">
      <ns0:c r="A155" s="17" t="str">
        <ns0:v>开放反馈</ns0:v>
      </ns0:c>
      <ns0:c r="B155" s="18" t="str">
        <ns0:v>返回目录</ns0:v>
      </ns0:c>
      <ns0:c r="C155" s="17"/>
      <ns0:c r="D155" s="17"/>
      <ns0:c r="E155" s="17"/>
      <ns0:c r="F155" s="17"/>
      <ns0:c r="G155" s="17"/>
      <ns0:c r="H155" s="17"/>
      <ns0:c r="I155" s="17"/>
      <ns0:c r="J155" s="17"/>
      <ns0:c r="K155" s="17"/>
      <ns0:c r="L155" s="17"/>
      <ns0:c r="M155" s="17"/>
      <ns0:c r="N155" s="17"/>
      <ns0:c r="O155" s="17"/>
      <ns0:c r="P155" s="17"/>
    </ns0:row>
    <ns0:row r="156" ht="22" customHeight="1">
      <ns0:c r="A156" s="10" t="str">
        <ns0:v>分组族</ns0:v>
      </ns0:c>
      <ns0:c r="B156" s="11" t="str">
        <ns0:v>总体</ns0:v>
      </ns0:c>
      <ns0:c r="C156" s="41" t="str">
        <ns0:v>玩家经验互斥</ns0:v>
      </ns0:c>
      <ns0:c r="D156" s="12"/>
      <ns0:c r="E156" s="12"/>
      <ns0:c r="F156" s="12"/>
      <ns0:c r="G156" s="46" t="str">
        <ns0:v>参与平台</ns0:v>
      </ns0:c>
      <ns0:c r="H156" s="13"/>
      <ns0:c r="I156" s="48" t="str">
        <ns0:v>满意度分层</ns0:v>
      </ns0:c>
      <ns0:c r="J156" s="14"/>
      <ns0:c r="K156" s="48" t="str">
        <ns0:v>上手表现分层</ns0:v>
      </ns0:c>
      <ns0:c r="L156" s="14"/>
      <ns0:c r="M156" s="48" t="str">
        <ns0:v>继续游玩分层</ns0:v>
      </ns0:c>
      <ns0:c r="N156" s="14"/>
      <ns0:c r="O156" s="48" t="str">
        <ns0:v>推荐意愿分层</ns0:v>
      </ns0:c>
      <ns0:c r="P156" s="14"/>
    </ns0:row>
    <ns0:row r="157" ht="44" customHeight="1">
      <ns0:c r="A157" s="10" t="str">
        <ns0:v>选项 / 指标</ns0:v>
      </ns0:c>
      <ns0:c r="B157" s="11" t="str">
        <ns0:v>Total</ns0:v>
      </ns0:c>
      <ns0:c r="C157" s="41" t="str">
        <ns0:v>横版动作核心</ns0:v>
      </ns0:c>
      <ns0:c r="D157" s="12" t="str">
        <ns0:v>二游ARPG</ns0:v>
      </ns0:c>
      <ns0:c r="E157" s="12" t="str">
        <ns0:v>银河恶魔城</ns0:v>
      </ns0:c>
      <ns0:c r="F157" s="12" t="str">
        <ns0:v>泛用户</ns0:v>
      </ns0:c>
      <ns0:c r="G157" s="46" t="str">
        <ns0:v>移动端</ns0:v>
      </ns0:c>
      <ns0:c r="H157" s="13" t="str">
        <ns0:v>PC/主机</ns0:v>
      </ns0:c>
      <ns0:c r="I157" s="48" t="str">
        <ns0:v>高满意（4–5分）</ns0:v>
      </ns0:c>
      <ns0:c r="J157" s="14" t="str">
        <ns0:v>非高满意（1–3分）</ns0:v>
      </ns0:c>
      <ns0:c r="K157" s="48" t="str">
        <ns0:v>容易上手（4–5分）</ns0:v>
      </ns0:c>
      <ns0:c r="L157" s="14" t="str">
        <ns0:v>非容易上手（1–3分）</ns0:v>
      </ns0:c>
      <ns0:c r="M157" s="48" t="str">
        <ns0:v>高意愿（4–5分）</ns0:v>
      </ns0:c>
      <ns0:c r="N157" s="14" t="str">
        <ns0:v>非高意愿（1–3分）</ns0:v>
      </ns0:c>
      <ns0:c r="O157" s="48" t="str">
        <ns0:v>推荐者（9–10分）</ns0:v>
      </ns0:c>
      <ns0:c r="P157" s="14" t="str">
        <ns0:v>非推荐者（0–8分）</ns0:v>
      </ns0:c>
    </ns0:row>
    <ns0:row r="158">
      <ns0:c r="A158" s="20" t="str">
        <ns0:v>基数（n）：有效回答该题</ns0:v>
      </ns0:c>
      <ns0:c r="B158" s="21" t="n">
        <ns0:v>114</ns0:v>
      </ns0:c>
      <ns0:c r="C158" s="42" t="n">
        <ns0:v>43</ns0:v>
      </ns0:c>
      <ns0:c r="D158" s="22" t="n">
        <ns0:v>26</ns0:v>
      </ns0:c>
      <ns0:c r="E158" s="22" t="n">
        <ns0:v>15</ns0:v>
      </ns0:c>
      <ns0:c r="F158" s="21" t="n">
        <ns0:v>30</ns0:v>
      </ns0:c>
      <ns0:c r="G158" s="42" t="n">
        <ns0:v>63</ns0:v>
      </ns0:c>
      <ns0:c r="H158" s="21" t="n">
        <ns0:v>51</ns0:v>
      </ns0:c>
      <ns0:c r="I158" s="42" t="n">
        <ns0:v>63</ns0:v>
      </ns0:c>
      <ns0:c r="J158" s="21" t="n">
        <ns0:v>51</ns0:v>
      </ns0:c>
      <ns0:c r="K158" s="42" t="n">
        <ns0:v>44</ns0:v>
      </ns0:c>
      <ns0:c r="L158" s="21" t="n">
        <ns0:v>65</ns0:v>
      </ns0:c>
      <ns0:c r="M158" s="42" t="n">
        <ns0:v>45</ns0:v>
      </ns0:c>
      <ns0:c r="N158" s="21" t="n">
        <ns0:v>69</ns0:v>
      </ns0:c>
      <ns0:c r="O158" s="42" t="n">
        <ns0:v>45</ns0:v>
      </ns0:c>
      <ns0:c r="P158" s="21" t="n">
        <ns0:v>66</ns0:v>
      </ns0:c>
    </ns0:row>
    <ns0:row r="159" ht="26" customHeight="1">
      <ns0:c r="A159" s="25" t="str">
        <ns0:v>[Q10].你对后续优化还有哪些建议？</ns0:v>
      </ns0:c>
      <ns0:c r="B159" s="25"/>
      <ns0:c r="C159" s="85"/>
      <ns0:c r="D159" s="25"/>
      <ns0:c r="E159" s="25"/>
      <ns0:c r="F159" s="25"/>
      <ns0:c r="G159" s="85"/>
      <ns0:c r="H159" s="25"/>
      <ns0:c r="I159" s="85"/>
      <ns0:c r="J159" s="25"/>
      <ns0:c r="K159" s="85"/>
      <ns0:c r="L159" s="25"/>
      <ns0:c r="M159" s="85"/>
      <ns0:c r="N159" s="25"/>
      <ns0:c r="O159" s="85"/>
      <ns0:c r="P159" s="25"/>
    </ns0:row>
  </ns0:sheetData>
  <ns0:mergeCells>
    <ns0:mergeCell ref="A1:J1"/>
    <ns0:mergeCell ref="A2:J2"/>
    <ns0:mergeCell ref="C3:F3"/>
    <ns0:mergeCell ref="G3:H3"/>
    <ns0:mergeCell ref="I3:J3"/>
    <ns0:mergeCell ref="K3:L3"/>
    <ns0:mergeCell ref="M3:N3"/>
    <ns0:mergeCell ref="O3:P3"/>
    <ns0:mergeCell ref="C7:F7"/>
    <ns0:mergeCell ref="G7:H7"/>
    <ns0:mergeCell ref="I7:J7"/>
    <ns0:mergeCell ref="K7:L7"/>
    <ns0:mergeCell ref="M7:N7"/>
    <ns0:mergeCell ref="O7:P7"/>
    <ns0:mergeCell ref="A10:J10"/>
    <ns0:mergeCell ref="C17:F17"/>
    <ns0:mergeCell ref="G17:H17"/>
    <ns0:mergeCell ref="I17:J17"/>
    <ns0:mergeCell ref="K17:L17"/>
    <ns0:mergeCell ref="M17:N17"/>
    <ns0:mergeCell ref="O17:P17"/>
    <ns0:mergeCell ref="A20:J20"/>
    <ns0:mergeCell ref="C29:F29"/>
    <ns0:mergeCell ref="G29:H29"/>
    <ns0:mergeCell ref="I29:J29"/>
    <ns0:mergeCell ref="K29:L29"/>
    <ns0:mergeCell ref="M29:N29"/>
    <ns0:mergeCell ref="O29:P29"/>
    <ns0:mergeCell ref="A32:J32"/>
    <ns0:mergeCell ref="C45:F45"/>
    <ns0:mergeCell ref="G45:H45"/>
    <ns0:mergeCell ref="I45:J45"/>
    <ns0:mergeCell ref="K45:L45"/>
    <ns0:mergeCell ref="M45:N45"/>
    <ns0:mergeCell ref="O45:P45"/>
    <ns0:mergeCell ref="A48:J48"/>
    <ns0:mergeCell ref="C61:F61"/>
    <ns0:mergeCell ref="G61:H61"/>
    <ns0:mergeCell ref="I61:J61"/>
    <ns0:mergeCell ref="K61:L61"/>
    <ns0:mergeCell ref="M61:N61"/>
    <ns0:mergeCell ref="O61:P61"/>
    <ns0:mergeCell ref="A64:J64"/>
    <ns0:mergeCell ref="C77:F77"/>
    <ns0:mergeCell ref="G77:H77"/>
    <ns0:mergeCell ref="I77:J77"/>
    <ns0:mergeCell ref="K77:L77"/>
    <ns0:mergeCell ref="M77:N77"/>
    <ns0:mergeCell ref="O77:P77"/>
    <ns0:mergeCell ref="A80:J80"/>
    <ns0:mergeCell ref="C92:F92"/>
    <ns0:mergeCell ref="G92:H92"/>
    <ns0:mergeCell ref="I92:J92"/>
    <ns0:mergeCell ref="K92:L92"/>
    <ns0:mergeCell ref="M92:N92"/>
    <ns0:mergeCell ref="O92:P92"/>
    <ns0:mergeCell ref="A95:J95"/>
    <ns0:mergeCell ref="C126:F126"/>
    <ns0:mergeCell ref="G126:H126"/>
    <ns0:mergeCell ref="I126:J126"/>
    <ns0:mergeCell ref="K126:L126"/>
    <ns0:mergeCell ref="M126:N126"/>
    <ns0:mergeCell ref="O126:P126"/>
    <ns0:mergeCell ref="A129:J129"/>
    <ns0:mergeCell ref="C138:F138"/>
    <ns0:mergeCell ref="G138:H138"/>
    <ns0:mergeCell ref="I138:J138"/>
    <ns0:mergeCell ref="K138:L138"/>
    <ns0:mergeCell ref="M138:N138"/>
    <ns0:mergeCell ref="O138:P138"/>
    <ns0:mergeCell ref="A141:J141"/>
    <ns0:mergeCell ref="C156:F156"/>
    <ns0:mergeCell ref="G156:H156"/>
    <ns0:mergeCell ref="I156:J156"/>
    <ns0:mergeCell ref="K156:L156"/>
    <ns0:mergeCell ref="M156:N156"/>
    <ns0:mergeCell ref="O156:P156"/>
    <ns0:mergeCell ref="A159:J159"/>
  </ns0:mergeCells>
  <ns0:hyperlinks>
    <ns0:hyperlink ref="B6" location="'Index'!A2"/>
    <ns0:hyperlink ref="B16" location="'Index'!A3"/>
    <ns0:hyperlink ref="B28" location="'Index'!A4"/>
    <ns0:hyperlink ref="B44" location="'Index'!A5"/>
    <ns0:hyperlink ref="B60" location="'Index'!A6"/>
    <ns0:hyperlink ref="B76" location="'Index'!A7"/>
    <ns0:hyperlink ref="B91" location="'Index'!A8"/>
    <ns0:hyperlink ref="B125" location="'Index'!A9"/>
    <ns0:hyperlink ref="B137" location="'Index'!A10"/>
    <ns0:hyperlink ref="B155" location="'Index'!A11"/>
  </ns0:hyperlink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Pr>
    <ns0:tabColor rgb="FF24415B"/>
  </ns0:sheetPr>
  <ns0:sheetViews>
    <ns0:sheetView showGridLines="0" workbookViewId="0">
      <ns0:pane xSplit="2" ySplit="4" topLeftCell="C5" activePane="bottomRight" state="frozen"/>
    </ns0:sheetView>
  </ns0:sheetViews>
  <ns0:sheetFormatPr defaultRowHeight="15"/>
  <ns0:cols>
    <ns0:col min="1" max="1" width="65" hidden="0" customWidth="1"/>
    <ns0:col min="2" max="2" width="14" hidden="0" customWidth="1"/>
    <ns0:col min="3" max="3" width="15" hidden="0" customWidth="1"/>
    <ns0:col min="4" max="4" width="15" hidden="0" customWidth="1"/>
    <ns0:col min="5" max="5" width="15" hidden="0" customWidth="1"/>
    <ns0:col min="6" max="6" width="15" hidden="0" customWidth="1"/>
    <ns0:col min="7" max="7" width="15" hidden="0" customWidth="1"/>
    <ns0:col min="8" max="8" width="15" hidden="0" customWidth="1"/>
    <ns0:col min="9" max="9" width="15" hidden="0" customWidth="1"/>
    <ns0:col min="10" max="10" width="15" hidden="0" customWidth="1"/>
    <ns0:col min="11" max="11" width="15" hidden="0" customWidth="1"/>
    <ns0:col min="12" max="12" width="15" hidden="0" customWidth="1"/>
    <ns0:col min="13" max="13" width="15" hidden="0" customWidth="1"/>
    <ns0:col min="14" max="14" width="15" hidden="0" customWidth="1"/>
    <ns0:col min="15" max="15" width="15" hidden="0" customWidth="1"/>
    <ns0:col min="16" max="16" width="15" hidden="0" customWidth="1"/>
  </ns0:cols>
  <ns0:sheetData>
    <ns0:row r="1" ht="30" customHeight="1">
      <ns0:c r="A1" s="2" t="str">
        <ns0:v>《星港计划》概念测试体验问卷（合成案例） 显著性检验</ns0:v>
      </ns0:c>
      <ns0:c r="B1" s="2"/>
      <ns0:c r="C1" s="2"/>
      <ns0:c r="D1" s="2"/>
      <ns0:c r="E1" s="2"/>
      <ns0:c r="F1" s="2"/>
      <ns0:c r="G1" s="2"/>
      <ns0:c r="H1" s="2"/>
      <ns0:c r="I1" s="2"/>
      <ns0:c r="J1" s="2"/>
    </ns0:row>
    <ns0:row r="2" ht="30" customHeight="1">
      <ns0:c r="A2" s="5" t="str">
        <ns0:v>青色/紫色字母：显著高于同族其他列（不代表表现更好）；黄色：低于同族全部可比列。双侧 p &lt; 0.1。† n &lt; 30；‡ 定义性分组；— 无有效样本。</ns0:v>
      </ns0:c>
      <ns0:c r="B2" s="5"/>
      <ns0:c r="C2" s="5"/>
      <ns0:c r="D2" s="5"/>
      <ns0:c r="E2" s="5"/>
      <ns0:c r="F2" s="5"/>
      <ns0:c r="G2" s="5"/>
      <ns0:c r="H2" s="5"/>
      <ns0:c r="I2" s="5"/>
      <ns0:c r="J2" s="5"/>
    </ns0:row>
    <ns0:row r="3" ht="22" customHeight="1">
      <ns0:c r="A3" s="10" t="str">
        <ns0:v>分组族</ns0:v>
      </ns0:c>
      <ns0:c r="B3" s="11" t="str">
        <ns0:v>总体</ns0:v>
      </ns0:c>
      <ns0:c r="C3" s="12" t="str">
        <ns0:v>玩家经验互斥</ns0:v>
      </ns0:c>
      <ns0:c r="D3" s="12"/>
      <ns0:c r="E3" s="12"/>
      <ns0:c r="F3" s="12"/>
      <ns0:c r="G3" s="13" t="str">
        <ns0:v>参与平台</ns0:v>
      </ns0:c>
      <ns0:c r="H3" s="13"/>
      <ns0:c r="I3" s="14" t="str">
        <ns0:v>满意度分层</ns0:v>
      </ns0:c>
      <ns0:c r="J3" s="14"/>
      <ns0:c r="K3" s="14" t="str">
        <ns0:v>上手表现分层</ns0:v>
      </ns0:c>
      <ns0:c r="L3" s="14"/>
      <ns0:c r="M3" s="14" t="str">
        <ns0:v>继续游玩分层</ns0:v>
      </ns0:c>
      <ns0:c r="N3" s="14"/>
      <ns0:c r="O3" s="14" t="str">
        <ns0:v>推荐意愿分层</ns0:v>
      </ns0:c>
      <ns0:c r="P3" s="14"/>
    </ns0:row>
    <ns0:row r="4" ht="44" customHeight="1">
      <ns0:c r="A4" s="10" t="str">
        <ns0:v>选项 / 指标</ns0:v>
      </ns0:c>
      <ns0:c r="B4" s="11" t="str">
        <ns0:v>Total</ns0:v>
      </ns0:c>
      <ns0:c r="C4" s="12" t="str">
        <ns0:v>横版动作核心 (A)</ns0:v>
      </ns0:c>
      <ns0:c r="D4" s="12" t="str">
        <ns0:v>二游ARPG (B)</ns0:v>
      </ns0:c>
      <ns0:c r="E4" s="12" t="str">
        <ns0:v>银河恶魔城 (C)</ns0:v>
      </ns0:c>
      <ns0:c r="F4" s="12" t="str">
        <ns0:v>泛用户 (D)</ns0:v>
      </ns0:c>
      <ns0:c r="G4" s="13" t="str">
        <ns0:v>移动端 (A)</ns0:v>
      </ns0:c>
      <ns0:c r="H4" s="13" t="str">
        <ns0:v>PC/主机 (B)</ns0:v>
      </ns0:c>
      <ns0:c r="I4" s="14" t="str">
        <ns0:v>高满意（4–5分） (A)</ns0:v>
      </ns0:c>
      <ns0:c r="J4" s="14" t="str">
        <ns0:v>非高满意（1–3分） (B)</ns0:v>
      </ns0:c>
      <ns0:c r="K4" s="14" t="str">
        <ns0:v>容易上手（4–5分） (A)</ns0:v>
      </ns0:c>
      <ns0:c r="L4" s="14" t="str">
        <ns0:v>非容易上手（1–3分） (B)</ns0:v>
      </ns0:c>
      <ns0:c r="M4" s="14" t="str">
        <ns0:v>高意愿（4–5分） (A)</ns0:v>
      </ns0:c>
      <ns0:c r="N4" s="14" t="str">
        <ns0:v>非高意愿（1–3分） (B)</ns0:v>
      </ns0:c>
      <ns0:c r="O4" s="14" t="str">
        <ns0:v>推荐者（9–10分） (A)</ns0:v>
      </ns0:c>
      <ns0:c r="P4" s="14" t="str">
        <ns0:v>非推荐者（0–8分） (B)</ns0:v>
      </ns0:c>
    </ns0:row>
    <ns0:row r="6" ht="24" customHeight="1">
      <ns0:c r="A6" s="17" t="str">
        <ns0:v>玩家平台</ns0:v>
      </ns0:c>
      <ns0:c r="B6" s="18" t="str">
        <ns0:v>返回目录</ns0:v>
      </ns0:c>
      <ns0:c r="C6" s="17"/>
      <ns0:c r="D6" s="17"/>
      <ns0:c r="E6" s="17"/>
      <ns0:c r="F6" s="17"/>
      <ns0:c r="G6" s="17"/>
      <ns0:c r="H6" s="17"/>
      <ns0:c r="I6" s="17"/>
      <ns0:c r="J6" s="17"/>
      <ns0:c r="K6" s="17"/>
      <ns0:c r="L6" s="17"/>
      <ns0:c r="M6" s="17"/>
      <ns0:c r="N6" s="17"/>
      <ns0:c r="O6" s="17"/>
      <ns0:c r="P6" s="17"/>
    </ns0:row>
    <ns0:row r="7" ht="22" customHeight="1">
      <ns0:c r="A7" s="10" t="str">
        <ns0:v>分组族</ns0:v>
      </ns0:c>
      <ns0:c r="B7" s="11" t="str">
        <ns0:v>总体</ns0:v>
      </ns0:c>
      <ns0:c r="C7" s="41" t="str">
        <ns0:v>玩家经验互斥</ns0:v>
      </ns0:c>
      <ns0:c r="D7" s="12"/>
      <ns0:c r="E7" s="12"/>
      <ns0:c r="F7" s="12"/>
      <ns0:c r="G7" s="46" t="str">
        <ns0:v>参与平台</ns0:v>
      </ns0:c>
      <ns0:c r="H7" s="13"/>
      <ns0:c r="I7" s="48" t="str">
        <ns0:v>满意度分层</ns0:v>
      </ns0:c>
      <ns0:c r="J7" s="14"/>
      <ns0:c r="K7" s="48" t="str">
        <ns0:v>上手表现分层</ns0:v>
      </ns0:c>
      <ns0:c r="L7" s="14"/>
      <ns0:c r="M7" s="48" t="str">
        <ns0:v>继续游玩分层</ns0:v>
      </ns0:c>
      <ns0:c r="N7" s="14"/>
      <ns0:c r="O7" s="48" t="str">
        <ns0:v>推荐意愿分层</ns0:v>
      </ns0:c>
      <ns0:c r="P7" s="14"/>
    </ns0:row>
    <ns0:row r="8" ht="44" customHeight="1">
      <ns0:c r="A8" s="10" t="str">
        <ns0:v>选项 / 指标</ns0:v>
      </ns0:c>
      <ns0:c r="B8" s="11" t="str">
        <ns0:v>Total</ns0:v>
      </ns0:c>
      <ns0:c r="C8" s="41" t="str">
        <ns0:v>横版动作核心 (A)</ns0:v>
      </ns0:c>
      <ns0:c r="D8" s="12" t="str">
        <ns0:v>二游ARPG (B)</ns0:v>
      </ns0:c>
      <ns0:c r="E8" s="12" t="str">
        <ns0:v>银河恶魔城 (C)</ns0:v>
      </ns0:c>
      <ns0:c r="F8" s="12" t="str">
        <ns0:v>泛用户 (D)</ns0:v>
      </ns0:c>
      <ns0:c r="G8" s="46" t="str">
        <ns0:v>移动端 (A) ‡</ns0:v>
      </ns0:c>
      <ns0:c r="H8" s="13" t="str">
        <ns0:v>PC/主机 (B) ‡</ns0:v>
      </ns0:c>
      <ns0:c r="I8" s="48" t="str">
        <ns0:v>高满意（4–5分） (A)</ns0:v>
      </ns0:c>
      <ns0:c r="J8" s="14" t="str">
        <ns0:v>非高满意（1–3分） (B)</ns0:v>
      </ns0:c>
      <ns0:c r="K8" s="48" t="str">
        <ns0:v>容易上手（4–5分） (A)</ns0:v>
      </ns0:c>
      <ns0:c r="L8" s="14" t="str">
        <ns0:v>非容易上手（1–3分） (B)</ns0:v>
      </ns0:c>
      <ns0:c r="M8" s="48" t="str">
        <ns0:v>高意愿（4–5分） (A)</ns0:v>
      </ns0:c>
      <ns0:c r="N8" s="14" t="str">
        <ns0:v>非高意愿（1–3分） (B)</ns0:v>
      </ns0:c>
      <ns0:c r="O8" s="48" t="str">
        <ns0:v>推荐者（9–10分） (A)</ns0:v>
      </ns0:c>
      <ns0:c r="P8" s="14" t="str">
        <ns0:v>非推荐者（0–8分） (B)</ns0:v>
      </ns0:c>
    </ns0:row>
    <ns0:row r="9">
      <ns0:c r="A9" s="20" t="str">
        <ns0:v>基数（n）：有效回答该题</ns0:v>
      </ns0:c>
      <ns0:c r="B9" s="21" t="n">
        <ns0:v>180</ns0:v>
      </ns0:c>
      <ns0:c r="C9" s="42" t="n">
        <ns0:v>61</ns0:v>
      </ns0:c>
      <ns0:c r="D9" s="21" t="n">
        <ns0:v>57</ns0:v>
      </ns0:c>
      <ns0:c r="E9" s="22" t="n">
        <ns0:v>25</ns0:v>
      </ns0:c>
      <ns0:c r="F9" s="21" t="n">
        <ns0:v>37</ns0:v>
      </ns0:c>
      <ns0:c r="G9" s="42" t="n">
        <ns0:v>101</ns0:v>
      </ns0:c>
      <ns0:c r="H9" s="21" t="n">
        <ns0:v>79</ns0:v>
      </ns0:c>
      <ns0:c r="I9" s="42" t="n">
        <ns0:v>91</ns0:v>
      </ns0:c>
      <ns0:c r="J9" s="21" t="n">
        <ns0:v>89</ns0:v>
      </ns0:c>
      <ns0:c r="K9" s="42" t="n">
        <ns0:v>75</ns0:v>
      </ns0:c>
      <ns0:c r="L9" s="21" t="n">
        <ns0:v>99</ns0:v>
      </ns0:c>
      <ns0:c r="M9" s="42" t="n">
        <ns0:v>58</ns0:v>
      </ns0:c>
      <ns0:c r="N9" s="21" t="n">
        <ns0:v>122</ns0:v>
      </ns0:c>
      <ns0:c r="O9" s="42" t="n">
        <ns0:v>61</ns0:v>
      </ns0:c>
      <ns0:c r="P9" s="21" t="n">
        <ns0:v>114</ns0:v>
      </ns0:c>
    </ns0:row>
    <ns0:row r="10" ht="26" customHeight="1">
      <ns0:c r="A10" s="25" t="str">
        <ns0:v>[Q1].本次测试主要使用的平台是？</ns0:v>
      </ns0:c>
      <ns0:c r="B10" s="25"/>
      <ns0:c r="C10" s="43"/>
      <ns0:c r="D10" s="25"/>
      <ns0:c r="E10" s="25"/>
      <ns0:c r="F10" s="25"/>
      <ns0:c r="G10" s="43"/>
      <ns0:c r="H10" s="25"/>
      <ns0:c r="I10" s="43"/>
      <ns0:c r="J10" s="25"/>
      <ns0:c r="K10" s="43"/>
      <ns0:c r="L10" s="25"/>
      <ns0:c r="M10" s="43"/>
      <ns0:c r="N10" s="25"/>
      <ns0:c r="O10" s="43"/>
      <ns0:c r="P10" s="25"/>
    </ns0:row>
    <ns0:row r="11" ht="22" customHeight="1">
      <ns0:c r="A11" s="26" t="str">
        <ns0:v>移动端</ns0:v>
      </ns0:c>
      <ns0:c r="B11" s="28" t="n">
        <ns0:v>0.5611111111111111</ns0:v>
      </ns0:c>
      <ns0:c r="C11" s="44" t="n">
        <ns0:v>0.5081967213114754</ns0:v>
      </ns0:c>
      <ns0:c r="D11" s="87" t="n">
        <ns0:v>0.6491228070175439</ns0:v>
      </ns0:c>
      <ns0:c r="E11" s="31" t="n">
        <ns0:v>0.4</ns0:v>
      </ns0:c>
      <ns0:c r="F11" s="87" t="n">
        <ns0:v>0.6216216216216216</ns0:v>
      </ns0:c>
      <ns0:c r="G11" s="103" t="n">
        <ns0:v>1</ns0:v>
      </ns0:c>
      <ns0:c r="H11" s="92" t="n">
        <ns0:v>0</ns0:v>
      </ns0:c>
      <ns0:c r="I11" s="44" t="n">
        <ns0:v>0.5054945054945055</ns0:v>
      </ns0:c>
      <ns0:c r="J11" s="29" t="n">
        <ns0:v>0.6179775280898876</ns0:v>
      </ns0:c>
      <ns0:c r="K11" s="105" t="n">
        <ns0:v>0.64</ns0:v>
      </ns0:c>
      <ns0:c r="L11" s="96" t="n">
        <ns0:v>0.5050505050505051</ns0:v>
      </ns0:c>
      <ns0:c r="M11" s="44" t="n">
        <ns0:v>0.6206896551724138</ns0:v>
      </ns0:c>
      <ns0:c r="N11" s="29" t="n">
        <ns0:v>0.5327868852459017</ns0:v>
      </ns0:c>
      <ns0:c r="O11" s="44" t="n">
        <ns0:v>0.5245901639344263</ns0:v>
      </ns0:c>
      <ns0:c r="P11" s="29" t="n">
        <ns0:v>0.5964912280701754</ns0:v>
      </ns0:c>
    </ns0:row>
    <ns0:row r="12" ht="22" customHeight="1">
      <ns0:c r="A12" s="26" t="str">
        <ns0:v>PC/主机</ns0:v>
      </ns0:c>
      <ns0:c r="B12" s="28" t="n">
        <ns0:v>0.4388888888888889</ns0:v>
      </ns0:c>
      <ns0:c r="C12" s="44" t="n">
        <ns0:v>0.4918032786885246</ns0:v>
      </ns0:c>
      <ns0:c r="D12" s="29" t="n">
        <ns0:v>0.3508771929824561</ns0:v>
      </ns0:c>
      <ns0:c r="E12" s="98" t="n">
        <ns0:v>0.6</ns0:v>
      </ns0:c>
      <ns0:c r="F12" s="29" t="n">
        <ns0:v>0.3783783783783784</ns0:v>
      </ns0:c>
      <ns0:c r="G12" s="104" t="n">
        <ns0:v>0</ns0:v>
      </ns0:c>
      <ns0:c r="H12" s="100" t="n">
        <ns0:v>1</ns0:v>
      </ns0:c>
      <ns0:c r="I12" s="44" t="n">
        <ns0:v>0.4945054945054945</ns0:v>
      </ns0:c>
      <ns0:c r="J12" s="29" t="n">
        <ns0:v>0.38202247191011235</ns0:v>
      </ns0:c>
      <ns0:c r="K12" s="106" t="n">
        <ns0:v>0.36</ns0:v>
      </ns0:c>
      <ns0:c r="L12" s="102" t="n">
        <ns0:v>0.494949494949495</ns0:v>
      </ns0:c>
      <ns0:c r="M12" s="44" t="n">
        <ns0:v>0.3793103448275862</ns0:v>
      </ns0:c>
      <ns0:c r="N12" s="29" t="n">
        <ns0:v>0.4672131147540984</ns0:v>
      </ns0:c>
      <ns0:c r="O12" s="44" t="n">
        <ns0:v>0.47540983606557374</ns0:v>
      </ns0:c>
      <ns0:c r="P12" s="29" t="n">
        <ns0:v>0.40350877192982454</ns0:v>
      </ns0:c>
    </ns0:row>
    <ns0:row r="13" ht="24" customHeight="1">
      <ns0:c r="A13" s="39" t="str">
        <ns0:v>Total</ns0:v>
      </ns0:c>
      <ns0:c r="B13" s="40" t="n">
        <ns0:f>SUM('体验问卷大表'!B11,'体验问卷大表'!B12)</ns0:f>
        <ns0:v>1</ns0:v>
      </ns0:c>
      <ns0:c r="C13" s="45" t="n">
        <ns0:f>SUM('体验问卷大表'!C11,'体验问卷大表'!C12)</ns0:f>
        <ns0:v>1</ns0:v>
      </ns0:c>
      <ns0:c r="D13" s="40" t="n">
        <ns0:f>SUM('体验问卷大表'!D11,'体验问卷大表'!D12)</ns0:f>
        <ns0:v>1</ns0:v>
      </ns0:c>
      <ns0:c r="E13" s="40" t="n">
        <ns0:f>SUM('体验问卷大表'!E11,'体验问卷大表'!E12)</ns0:f>
        <ns0:v>1</ns0:v>
      </ns0:c>
      <ns0:c r="F13" s="40" t="n">
        <ns0:f>SUM('体验问卷大表'!F11,'体验问卷大表'!F12)</ns0:f>
        <ns0:v>1</ns0:v>
      </ns0:c>
      <ns0:c r="G13" s="45" t="n">
        <ns0:f>SUM('体验问卷大表'!G11,'体验问卷大表'!G12)</ns0:f>
        <ns0:v>1</ns0:v>
      </ns0:c>
      <ns0:c r="H13" s="40" t="n">
        <ns0:f>SUM('体验问卷大表'!H11,'体验问卷大表'!H12)</ns0:f>
        <ns0:v>1</ns0:v>
      </ns0:c>
      <ns0:c r="I13" s="45" t="n">
        <ns0:f>SUM('体验问卷大表'!I11,'体验问卷大表'!I12)</ns0:f>
        <ns0:v>1</ns0:v>
      </ns0:c>
      <ns0:c r="J13" s="40" t="n">
        <ns0:f>SUM('体验问卷大表'!J11,'体验问卷大表'!J12)</ns0:f>
        <ns0:v>1</ns0:v>
      </ns0:c>
      <ns0:c r="K13" s="45" t="n">
        <ns0:f>SUM('体验问卷大表'!K11,'体验问卷大表'!K12)</ns0:f>
        <ns0:v>1</ns0:v>
      </ns0:c>
      <ns0:c r="L13" s="40" t="n">
        <ns0:f>SUM('体验问卷大表'!L11,'体验问卷大表'!L12)</ns0:f>
        <ns0:v>1</ns0:v>
      </ns0:c>
      <ns0:c r="M13" s="45" t="n">
        <ns0:f>SUM('体验问卷大表'!M11,'体验问卷大表'!M12)</ns0:f>
        <ns0:v>1</ns0:v>
      </ns0:c>
      <ns0:c r="N13" s="40" t="n">
        <ns0:f>SUM('体验问卷大表'!N11,'体验问卷大表'!N12)</ns0:f>
        <ns0:v>1</ns0:v>
      </ns0:c>
      <ns0:c r="O13" s="45" t="n">
        <ns0:f>SUM('体验问卷大表'!O11,'体验问卷大表'!O12)</ns0:f>
        <ns0:v>1</ns0:v>
      </ns0:c>
      <ns0:c r="P13" s="40" t="n">
        <ns0:f>SUM('体验问卷大表'!P11,'体验问卷大表'!P12)</ns0:f>
        <ns0:v>1</ns0:v>
      </ns0:c>
    </ns0:row>
    <ns0:row r="16" ht="24" customHeight="1">
      <ns0:c r="A16" s="17" t="str">
        <ns0:v>玩家经验</ns0:v>
      </ns0:c>
      <ns0:c r="B16" s="18" t="str">
        <ns0:v>返回目录</ns0:v>
      </ns0:c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</ns0:row>
    <ns0:row r="17" ht="22" customHeight="1">
      <ns0:c r="A17" s="10" t="str">
        <ns0:v>分组族</ns0:v>
      </ns0:c>
      <ns0:c r="B17" s="11" t="str">
        <ns0:v>总体</ns0:v>
      </ns0:c>
      <ns0:c r="C17" s="41" t="str">
        <ns0:v>玩家经验互斥</ns0:v>
      </ns0:c>
      <ns0:c r="D17" s="12"/>
      <ns0:c r="E17" s="12"/>
      <ns0:c r="F17" s="12"/>
      <ns0:c r="G17" s="46" t="str">
        <ns0:v>参与平台</ns0:v>
      </ns0:c>
      <ns0:c r="H17" s="13"/>
      <ns0:c r="I17" s="48" t="str">
        <ns0:v>满意度分层</ns0:v>
      </ns0:c>
      <ns0:c r="J17" s="14"/>
      <ns0:c r="K17" s="48" t="str">
        <ns0:v>上手表现分层</ns0:v>
      </ns0:c>
      <ns0:c r="L17" s="14"/>
      <ns0:c r="M17" s="48" t="str">
        <ns0:v>继续游玩分层</ns0:v>
      </ns0:c>
      <ns0:c r="N17" s="14"/>
      <ns0:c r="O17" s="48" t="str">
        <ns0:v>推荐意愿分层</ns0:v>
      </ns0:c>
      <ns0:c r="P17" s="14"/>
    </ns0:row>
    <ns0:row r="18" ht="44" customHeight="1">
      <ns0:c r="A18" s="10" t="str">
        <ns0:v>选项 / 指标</ns0:v>
      </ns0:c>
      <ns0:c r="B18" s="11" t="str">
        <ns0:v>Total</ns0:v>
      </ns0:c>
      <ns0:c r="C18" s="41" t="str">
        <ns0:v>横版动作核心 (A) ‡</ns0:v>
      </ns0:c>
      <ns0:c r="D18" s="12" t="str">
        <ns0:v>二游ARPG (B) ‡</ns0:v>
      </ns0:c>
      <ns0:c r="E18" s="12" t="str">
        <ns0:v>银河恶魔城 (C) ‡</ns0:v>
      </ns0:c>
      <ns0:c r="F18" s="12" t="str">
        <ns0:v>泛用户 (D) ‡</ns0:v>
      </ns0:c>
      <ns0:c r="G18" s="46" t="str">
        <ns0:v>移动端 (A)</ns0:v>
      </ns0:c>
      <ns0:c r="H18" s="13" t="str">
        <ns0:v>PC/主机 (B)</ns0:v>
      </ns0:c>
      <ns0:c r="I18" s="48" t="str">
        <ns0:v>高满意（4–5分） (A)</ns0:v>
      </ns0:c>
      <ns0:c r="J18" s="14" t="str">
        <ns0:v>非高满意（1–3分） (B)</ns0:v>
      </ns0:c>
      <ns0:c r="K18" s="48" t="str">
        <ns0:v>容易上手（4–5分） (A)</ns0:v>
      </ns0:c>
      <ns0:c r="L18" s="14" t="str">
        <ns0:v>非容易上手（1–3分） (B)</ns0:v>
      </ns0:c>
      <ns0:c r="M18" s="48" t="str">
        <ns0:v>高意愿（4–5分） (A)</ns0:v>
      </ns0:c>
      <ns0:c r="N18" s="14" t="str">
        <ns0:v>非高意愿（1–3分） (B)</ns0:v>
      </ns0:c>
      <ns0:c r="O18" s="48" t="str">
        <ns0:v>推荐者（9–10分） (A)</ns0:v>
      </ns0:c>
      <ns0:c r="P18" s="14" t="str">
        <ns0:v>非推荐者（0–8分） (B)</ns0:v>
      </ns0:c>
    </ns0:row>
    <ns0:row r="19">
      <ns0:c r="A19" s="20" t="str">
        <ns0:v>基数（n）：有效回答该题</ns0:v>
      </ns0:c>
      <ns0:c r="B19" s="21" t="n">
        <ns0:v>180</ns0:v>
      </ns0:c>
      <ns0:c r="C19" s="42" t="n">
        <ns0:v>61</ns0:v>
      </ns0:c>
      <ns0:c r="D19" s="21" t="n">
        <ns0:v>57</ns0:v>
      </ns0:c>
      <ns0:c r="E19" s="22" t="n">
        <ns0:v>25</ns0:v>
      </ns0:c>
      <ns0:c r="F19" s="21" t="n">
        <ns0:v>37</ns0:v>
      </ns0:c>
      <ns0:c r="G19" s="42" t="n">
        <ns0:v>101</ns0:v>
      </ns0:c>
      <ns0:c r="H19" s="21" t="n">
        <ns0:v>79</ns0:v>
      </ns0:c>
      <ns0:c r="I19" s="42" t="n">
        <ns0:v>91</ns0:v>
      </ns0:c>
      <ns0:c r="J19" s="21" t="n">
        <ns0:v>89</ns0:v>
      </ns0:c>
      <ns0:c r="K19" s="42" t="n">
        <ns0:v>75</ns0:v>
      </ns0:c>
      <ns0:c r="L19" s="21" t="n">
        <ns0:v>99</ns0:v>
      </ns0:c>
      <ns0:c r="M19" s="42" t="n">
        <ns0:v>58</ns0:v>
      </ns0:c>
      <ns0:c r="N19" s="21" t="n">
        <ns0:v>122</ns0:v>
      </ns0:c>
      <ns0:c r="O19" s="42" t="n">
        <ns0:v>61</ns0:v>
      </ns0:c>
      <ns0:c r="P19" s="21" t="n">
        <ns0:v>114</ns0:v>
      </ns0:c>
    </ns0:row>
    <ns0:row r="20" ht="26" customHeight="1">
      <ns0:c r="A20" s="25" t="str">
        <ns0:v>[Q2].以下哪类游戏经验最符合你？</ns0:v>
      </ns0:c>
      <ns0:c r="B20" s="25"/>
      <ns0:c r="C20" s="43"/>
      <ns0:c r="D20" s="25"/>
      <ns0:c r="E20" s="25"/>
      <ns0:c r="F20" s="25"/>
      <ns0:c r="G20" s="43"/>
      <ns0:c r="H20" s="25"/>
      <ns0:c r="I20" s="43"/>
      <ns0:c r="J20" s="25"/>
      <ns0:c r="K20" s="43"/>
      <ns0:c r="L20" s="25"/>
      <ns0:c r="M20" s="43"/>
      <ns0:c r="N20" s="25"/>
      <ns0:c r="O20" s="43"/>
      <ns0:c r="P20" s="25"/>
    </ns0:row>
    <ns0:row r="21" ht="22" customHeight="1">
      <ns0:c r="A21" s="26" t="str">
        <ns0:v>横版动作核心</ns0:v>
      </ns0:c>
      <ns0:c r="B21" s="28" t="n">
        <ns0:v>0.3388888888888889</ns0:v>
      </ns0:c>
      <ns0:c r="C21" s="116" t="n">
        <ns0:v>1</ns0:v>
      </ns0:c>
      <ns0:c r="D21" s="90" t="n">
        <ns0:v>0</ns0:v>
      </ns0:c>
      <ns0:c r="E21" s="109" t="n">
        <ns0:v>0</ns0:v>
      </ns0:c>
      <ns0:c r="F21" s="90" t="n">
        <ns0:v>0</ns0:v>
      </ns0:c>
      <ns0:c r="G21" s="44" t="n">
        <ns0:v>0.3069306930693069</ns0:v>
      </ns0:c>
      <ns0:c r="H21" s="29" t="n">
        <ns0:v>0.379746835443038</ns0:v>
      </ns0:c>
      <ns0:c r="I21" s="105" t="n">
        <ns0:v>0.46153846153846156</ns0:v>
      </ns0:c>
      <ns0:c r="J21" s="96" t="n">
        <ns0:v>0.21348314606741572</ns0:v>
      </ns0:c>
      <ns0:c r="K21" s="105" t="n">
        <ns0:v>0.52</ns0:v>
      </ns0:c>
      <ns0:c r="L21" s="96" t="n">
        <ns0:v>0.20202020202020202</ns0:v>
      </ns0:c>
      <ns0:c r="M21" s="105" t="n">
        <ns0:v>0.46551724137931033</ns0:v>
      </ns0:c>
      <ns0:c r="N21" s="96" t="n">
        <ns0:v>0.2786885245901639</ns0:v>
      </ns0:c>
      <ns0:c r="O21" s="105" t="n">
        <ns0:v>0.5409836065573771</ns0:v>
      </ns0:c>
      <ns0:c r="P21" s="96" t="n">
        <ns0:v>0.22807017543859648</ns0:v>
      </ns0:c>
    </ns0:row>
    <ns0:row r="22" ht="22" customHeight="1">
      <ns0:c r="A22" s="26" t="str">
        <ns0:v>二游ARPG</ns0:v>
      </ns0:c>
      <ns0:c r="B22" s="28" t="n">
        <ns0:v>0.31666666666666665</ns0:v>
      </ns0:c>
      <ns0:c r="C22" s="117" t="n">
        <ns0:v>0</ns0:v>
      </ns0:c>
      <ns0:c r="D22" s="111" t="n">
        <ns0:v>1</ns0:v>
      </ns0:c>
      <ns0:c r="E22" s="109" t="n">
        <ns0:v>0</ns0:v>
      </ns0:c>
      <ns0:c r="F22" s="90" t="n">
        <ns0:v>0</ns0:v>
      </ns0:c>
      <ns0:c r="G22" s="44" t="n">
        <ns0:v>0.36633663366336633</ns0:v>
      </ns0:c>
      <ns0:c r="H22" s="29" t="n">
        <ns0:v>0.25316455696202533</ns0:v>
      </ns0:c>
      <ns0:c r="I22" s="44" t="n">
        <ns0:v>0.32967032967032966</ns0:v>
      </ns0:c>
      <ns0:c r="J22" s="29" t="n">
        <ns0:v>0.30337078651685395</ns0:v>
      </ns0:c>
      <ns0:c r="K22" s="106" t="n">
        <ns0:v>0.24</ns0:v>
      </ns0:c>
      <ns0:c r="L22" s="102" t="n">
        <ns0:v>0.3838383838383838</ns0:v>
      </ns0:c>
      <ns0:c r="M22" s="44" t="n">
        <ns0:v>0.27586206896551724</ns0:v>
      </ns0:c>
      <ns0:c r="N22" s="29" t="n">
        <ns0:v>0.3360655737704918</ns0:v>
      </ns0:c>
      <ns0:c r="O22" s="44" t="n">
        <ns0:v>0.26229508196721313</ns0:v>
      </ns0:c>
      <ns0:c r="P22" s="29" t="n">
        <ns0:v>0.35964912280701755</ns0:v>
      </ns0:c>
    </ns0:row>
    <ns0:row r="23" ht="22" customHeight="1">
      <ns0:c r="A23" s="26" t="str">
        <ns0:v>银河恶魔城</ns0:v>
      </ns0:c>
      <ns0:c r="B23" s="28" t="n">
        <ns0:v>0.1388888888888889</ns0:v>
      </ns0:c>
      <ns0:c r="C23" s="117" t="n">
        <ns0:v>0</ns0:v>
      </ns0:c>
      <ns0:c r="D23" s="90" t="n">
        <ns0:v>0</ns0:v>
      </ns0:c>
      <ns0:c r="E23" s="113" t="n">
        <ns0:v>1</ns0:v>
      </ns0:c>
      <ns0:c r="F23" s="90" t="n">
        <ns0:v>0</ns0:v>
      </ns0:c>
      <ns0:c r="G23" s="106" t="n">
        <ns0:v>0.09900990099009901</ns0:v>
      </ns0:c>
      <ns0:c r="H23" s="102" t="n">
        <ns0:v>0.189873417721519</ns0:v>
      </ns0:c>
      <ns0:c r="I23" s="44" t="n">
        <ns0:v>0.15384615384615385</ns0:v>
      </ns0:c>
      <ns0:c r="J23" s="29" t="n">
        <ns0:v>0.12359550561797752</ns0:v>
      </ns0:c>
      <ns0:c r="K23" s="44" t="n">
        <ns0:v>0.09333333333333334</ns0:v>
      </ns0:c>
      <ns0:c r="L23" s="29" t="n">
        <ns0:v>0.1717171717171717</ns0:v>
      </ns0:c>
      <ns0:c r="M23" s="44" t="n">
        <ns0:v>0.15517241379310345</ns0:v>
      </ns0:c>
      <ns0:c r="N23" s="29" t="n">
        <ns0:v>0.13114754098360656</ns0:v>
      </ns0:c>
      <ns0:c r="O23" s="44" t="n">
        <ns0:v>0.13114754098360656</ns0:v>
      </ns0:c>
      <ns0:c r="P23" s="29" t="n">
        <ns0:v>0.13157894736842105</ns0:v>
      </ns0:c>
    </ns0:row>
    <ns0:row r="24" ht="22" customHeight="1">
      <ns0:c r="A24" s="26" t="str">
        <ns0:v>泛用户</ns0:v>
      </ns0:c>
      <ns0:c r="B24" s="28" t="n">
        <ns0:v>0.20555555555555555</ns0:v>
      </ns0:c>
      <ns0:c r="C24" s="117" t="n">
        <ns0:v>0</ns0:v>
      </ns0:c>
      <ns0:c r="D24" s="90" t="n">
        <ns0:v>0</ns0:v>
      </ns0:c>
      <ns0:c r="E24" s="109" t="n">
        <ns0:v>0</ns0:v>
      </ns0:c>
      <ns0:c r="F24" s="115" t="n">
        <ns0:v>1</ns0:v>
      </ns0:c>
      <ns0:c r="G24" s="44" t="n">
        <ns0:v>0.22772277227722773</ns0:v>
      </ns0:c>
      <ns0:c r="H24" s="29" t="n">
        <ns0:v>0.17721518987341772</ns0:v>
      </ns0:c>
      <ns0:c r="I24" s="106" t="n">
        <ns0:v>0.054945054945054944</ns0:v>
      </ns0:c>
      <ns0:c r="J24" s="102" t="n">
        <ns0:v>0.3595505617977528</ns0:v>
      </ns0:c>
      <ns0:c r="K24" s="44" t="n">
        <ns0:v>0.14666666666666667</ns0:v>
      </ns0:c>
      <ns0:c r="L24" s="29" t="n">
        <ns0:v>0.24242424242424243</ns0:v>
      </ns0:c>
      <ns0:c r="M24" s="106" t="n">
        <ns0:v>0.10344827586206896</ns0:v>
      </ns0:c>
      <ns0:c r="N24" s="102" t="n">
        <ns0:v>0.2540983606557377</ns0:v>
      </ns0:c>
      <ns0:c r="O24" s="106" t="n">
        <ns0:v>0.06557377049180328</ns0:v>
      </ns0:c>
      <ns0:c r="P24" s="102" t="n">
        <ns0:v>0.2807017543859649</ns0:v>
      </ns0:c>
    </ns0:row>
    <ns0:row r="25" ht="24" customHeight="1">
      <ns0:c r="A25" s="39" t="str">
        <ns0:v>Total</ns0:v>
      </ns0:c>
      <ns0:c r="B25" s="40" t="n">
        <ns0:f>SUM('体验问卷大表'!B21,'体验问卷大表'!B22,'体验问卷大表'!B23,'体验问卷大表'!B24)</ns0:f>
        <ns0:v>1</ns0:v>
      </ns0:c>
      <ns0:c r="C25" s="45" t="n">
        <ns0:f>SUM('体验问卷大表'!C21,'体验问卷大表'!C22,'体验问卷大表'!C23,'体验问卷大表'!C24)</ns0:f>
        <ns0:v>1</ns0:v>
      </ns0:c>
      <ns0:c r="D25" s="40" t="n">
        <ns0:f>SUM('体验问卷大表'!D21,'体验问卷大表'!D22,'体验问卷大表'!D23,'体验问卷大表'!D24)</ns0:f>
        <ns0:v>1</ns0:v>
      </ns0:c>
      <ns0:c r="E25" s="40" t="n">
        <ns0:f>SUM('体验问卷大表'!E21,'体验问卷大表'!E22,'体验问卷大表'!E23,'体验问卷大表'!E24)</ns0:f>
        <ns0:v>1</ns0:v>
      </ns0:c>
      <ns0:c r="F25" s="40" t="n">
        <ns0:f>SUM('体验问卷大表'!F21,'体验问卷大表'!F22,'体验问卷大表'!F23,'体验问卷大表'!F24)</ns0:f>
        <ns0:v>1</ns0:v>
      </ns0:c>
      <ns0:c r="G25" s="45" t="n">
        <ns0:f>SUM('体验问卷大表'!G21,'体验问卷大表'!G22,'体验问卷大表'!G23,'体验问卷大表'!G24)</ns0:f>
        <ns0:v>0.9999999999999999</ns0:v>
      </ns0:c>
      <ns0:c r="H25" s="40" t="n">
        <ns0:f>SUM('体验问卷大表'!H21,'体验问卷大表'!H22,'体验问卷大表'!H23,'体验问卷大表'!H24)</ns0:f>
        <ns0:v>1</ns0:v>
      </ns0:c>
      <ns0:c r="I25" s="45" t="n">
        <ns0:f>SUM('体验问卷大表'!I21,'体验问卷大表'!I22,'体验问卷大表'!I23,'体验问卷大表'!I24)</ns0:f>
        <ns0:v>1</ns0:v>
      </ns0:c>
      <ns0:c r="J25" s="40" t="n">
        <ns0:f>SUM('体验问卷大表'!J21,'体验问卷大表'!J22,'体验问卷大表'!J23,'体验问卷大表'!J24)</ns0:f>
        <ns0:v>1</ns0:v>
      </ns0:c>
      <ns0:c r="K25" s="45" t="n">
        <ns0:f>SUM('体验问卷大表'!K21,'体验问卷大表'!K22,'体验问卷大表'!K23,'体验问卷大表'!K24)</ns0:f>
        <ns0:v>1</ns0:v>
      </ns0:c>
      <ns0:c r="L25" s="40" t="n">
        <ns0:f>SUM('体验问卷大表'!L21,'体验问卷大表'!L22,'体验问卷大表'!L23,'体验问卷大表'!L24)</ns0:f>
        <ns0:v>1</ns0:v>
      </ns0:c>
      <ns0:c r="M25" s="45" t="n">
        <ns0:f>SUM('体验问卷大表'!M21,'体验问卷大表'!M22,'体验问卷大表'!M23,'体验问卷大表'!M24)</ns0:f>
        <ns0:v>1</ns0:v>
      </ns0:c>
      <ns0:c r="N25" s="40" t="n">
        <ns0:f>SUM('体验问卷大表'!N21,'体验问卷大表'!N22,'体验问卷大表'!N23,'体验问卷大表'!N24)</ns0:f>
        <ns0:v>1</ns0:v>
      </ns0:c>
      <ns0:c r="O25" s="45" t="n">
        <ns0:f>SUM('体验问卷大表'!O21,'体验问卷大表'!O22,'体验问卷大表'!O23,'体验问卷大表'!O24)</ns0:f>
        <ns0:v>1</ns0:v>
      </ns0:c>
      <ns0:c r="P25" s="40" t="n">
        <ns0:f>SUM('体验问卷大表'!P21,'体验问卷大表'!P22,'体验问卷大表'!P23,'体验问卷大表'!P24)</ns0:f>
        <ns0:v>1</ns0:v>
      </ns0:c>
    </ns0:row>
    <ns0:row r="28" ht="24" customHeight="1">
      <ns0:c r="A28" s="17" t="str">
        <ns0:v>整体满意度</ns0:v>
      </ns0:c>
      <ns0:c r="B28" s="18" t="str">
        <ns0:v>返回目录</ns0:v>
      </ns0:c>
      <ns0:c r="C28" s="17"/>
      <ns0:c r="D28" s="17"/>
      <ns0:c r="E28" s="17"/>
      <ns0:c r="F28" s="17"/>
      <ns0:c r="G28" s="17"/>
      <ns0:c r="H28" s="17"/>
      <ns0:c r="I28" s="17"/>
      <ns0:c r="J28" s="17"/>
      <ns0:c r="K28" s="17"/>
      <ns0:c r="L28" s="17"/>
      <ns0:c r="M28" s="17"/>
      <ns0:c r="N28" s="17"/>
      <ns0:c r="O28" s="17"/>
      <ns0:c r="P28" s="17"/>
    </ns0:row>
    <ns0:row r="29" ht="22" customHeight="1">
      <ns0:c r="A29" s="10" t="str">
        <ns0:v>分组族</ns0:v>
      </ns0:c>
      <ns0:c r="B29" s="11" t="str">
        <ns0:v>总体</ns0:v>
      </ns0:c>
      <ns0:c r="C29" s="41" t="str">
        <ns0:v>玩家经验互斥</ns0:v>
      </ns0:c>
      <ns0:c r="D29" s="12"/>
      <ns0:c r="E29" s="12"/>
      <ns0:c r="F29" s="12"/>
      <ns0:c r="G29" s="46" t="str">
        <ns0:v>参与平台</ns0:v>
      </ns0:c>
      <ns0:c r="H29" s="13"/>
      <ns0:c r="I29" s="48" t="str">
        <ns0:v>满意度分层</ns0:v>
      </ns0:c>
      <ns0:c r="J29" s="14"/>
      <ns0:c r="K29" s="48" t="str">
        <ns0:v>上手表现分层</ns0:v>
      </ns0:c>
      <ns0:c r="L29" s="14"/>
      <ns0:c r="M29" s="48" t="str">
        <ns0:v>继续游玩分层</ns0:v>
      </ns0:c>
      <ns0:c r="N29" s="14"/>
      <ns0:c r="O29" s="48" t="str">
        <ns0:v>推荐意愿分层</ns0:v>
      </ns0:c>
      <ns0:c r="P29" s="14"/>
    </ns0:row>
    <ns0:row r="30" ht="44" customHeight="1">
      <ns0:c r="A30" s="10" t="str">
        <ns0:v>选项 / 指标</ns0:v>
      </ns0:c>
      <ns0:c r="B30" s="11" t="str">
        <ns0:v>Total</ns0:v>
      </ns0:c>
      <ns0:c r="C30" s="41" t="str">
        <ns0:v>横版动作核心 (A)</ns0:v>
      </ns0:c>
      <ns0:c r="D30" s="12" t="str">
        <ns0:v>二游ARPG (B)</ns0:v>
      </ns0:c>
      <ns0:c r="E30" s="12" t="str">
        <ns0:v>银河恶魔城 (C)</ns0:v>
      </ns0:c>
      <ns0:c r="F30" s="12" t="str">
        <ns0:v>泛用户 (D)</ns0:v>
      </ns0:c>
      <ns0:c r="G30" s="46" t="str">
        <ns0:v>移动端 (A)</ns0:v>
      </ns0:c>
      <ns0:c r="H30" s="13" t="str">
        <ns0:v>PC/主机 (B)</ns0:v>
      </ns0:c>
      <ns0:c r="I30" s="48" t="str">
        <ns0:v>高满意（4–5分） (A) ‡</ns0:v>
      </ns0:c>
      <ns0:c r="J30" s="14" t="str">
        <ns0:v>非高满意（1–3分） (B) ‡</ns0:v>
      </ns0:c>
      <ns0:c r="K30" s="48" t="str">
        <ns0:v>容易上手（4–5分） (A)</ns0:v>
      </ns0:c>
      <ns0:c r="L30" s="14" t="str">
        <ns0:v>非容易上手（1–3分） (B)</ns0:v>
      </ns0:c>
      <ns0:c r="M30" s="48" t="str">
        <ns0:v>高意愿（4–5分） (A)</ns0:v>
      </ns0:c>
      <ns0:c r="N30" s="14" t="str">
        <ns0:v>非高意愿（1–3分） (B)</ns0:v>
      </ns0:c>
      <ns0:c r="O30" s="48" t="str">
        <ns0:v>推荐者（9–10分） (A)</ns0:v>
      </ns0:c>
      <ns0:c r="P30" s="14" t="str">
        <ns0:v>非推荐者（0–8分） (B)</ns0:v>
      </ns0:c>
    </ns0:row>
    <ns0:row r="31">
      <ns0:c r="A31" s="20" t="str">
        <ns0:v>基数（n）：有效回答该题</ns0:v>
      </ns0:c>
      <ns0:c r="B31" s="21" t="n">
        <ns0:v>180</ns0:v>
      </ns0:c>
      <ns0:c r="C31" s="42" t="n">
        <ns0:v>61</ns0:v>
      </ns0:c>
      <ns0:c r="D31" s="21" t="n">
        <ns0:v>57</ns0:v>
      </ns0:c>
      <ns0:c r="E31" s="22" t="n">
        <ns0:v>25</ns0:v>
      </ns0:c>
      <ns0:c r="F31" s="21" t="n">
        <ns0:v>37</ns0:v>
      </ns0:c>
      <ns0:c r="G31" s="42" t="n">
        <ns0:v>101</ns0:v>
      </ns0:c>
      <ns0:c r="H31" s="21" t="n">
        <ns0:v>79</ns0:v>
      </ns0:c>
      <ns0:c r="I31" s="42" t="n">
        <ns0:v>91</ns0:v>
      </ns0:c>
      <ns0:c r="J31" s="21" t="n">
        <ns0:v>89</ns0:v>
      </ns0:c>
      <ns0:c r="K31" s="42" t="n">
        <ns0:v>75</ns0:v>
      </ns0:c>
      <ns0:c r="L31" s="21" t="n">
        <ns0:v>99</ns0:v>
      </ns0:c>
      <ns0:c r="M31" s="42" t="n">
        <ns0:v>58</ns0:v>
      </ns0:c>
      <ns0:c r="N31" s="21" t="n">
        <ns0:v>122</ns0:v>
      </ns0:c>
      <ns0:c r="O31" s="42" t="n">
        <ns0:v>61</ns0:v>
      </ns0:c>
      <ns0:c r="P31" s="21" t="n">
        <ns0:v>114</ns0:v>
      </ns0:c>
    </ns0:row>
    <ns0:row r="32" ht="26" customHeight="1">
      <ns0:c r="A32" s="25" t="str">
        <ns0:v>[Q3].你对本次测试的整体满意度如何？</ns0:v>
      </ns0:c>
      <ns0:c r="B32" s="25"/>
      <ns0:c r="C32" s="43"/>
      <ns0:c r="D32" s="25"/>
      <ns0:c r="E32" s="25"/>
      <ns0:c r="F32" s="25"/>
      <ns0:c r="G32" s="43"/>
      <ns0:c r="H32" s="25"/>
      <ns0:c r="I32" s="43"/>
      <ns0:c r="J32" s="25"/>
      <ns0:c r="K32" s="43"/>
      <ns0:c r="L32" s="25"/>
      <ns0:c r="M32" s="43"/>
      <ns0:c r="N32" s="25"/>
      <ns0:c r="O32" s="43"/>
      <ns0:c r="P32" s="25"/>
    </ns0:row>
    <ns0:row r="33" ht="22" customHeight="1">
      <ns0:c r="A33" s="53" t="str">
        <ns0:v>Mean ↑</ns0:v>
      </ns0:c>
      <ns0:c r="B33" s="56" t="n">
        <ns0:v>3.4</ns0:v>
      </ns0:c>
      <ns0:c r="C33" s="166" t="n">
        <ns0:v>3.80327868852459</ns0:v>
      </ns0:c>
      <ns0:c r="D33" s="121" t="n">
        <ns0:v>3.473684210526316</ns0:v>
      </ns0:c>
      <ns0:c r="E33" s="123" t="n">
        <ns0:v>3.64</ns0:v>
      </ns0:c>
      <ns0:c r="F33" s="125" t="n">
        <ns0:v>2.4594594594594597</ns0:v>
      </ns0:c>
      <ns0:c r="G33" s="170" t="n">
        <ns0:v>3.267326732673267</ns0:v>
      </ns0:c>
      <ns0:c r="H33" s="127" t="n">
        <ns0:v>3.569620253164557</ns0:v>
      </ns0:c>
      <ns0:c r="I33" s="172" t="n">
        <ns0:v>4.164835164835165</ns0:v>
      </ns0:c>
      <ns0:c r="J33" s="132" t="n">
        <ns0:v>2.6179775280898876</ns0:v>
      </ns0:c>
      <ns0:c r="K33" s="69" t="n">
        <ns0:v>3.36</ns0:v>
      </ns0:c>
      <ns0:c r="L33" s="57" t="n">
        <ns0:v>3.4242424242424243</ns0:v>
      </ns0:c>
      <ns0:c r="M33" s="175" t="n">
        <ns0:v>3.8620689655172415</ns0:v>
      </ns0:c>
      <ns0:c r="N33" s="125" t="n">
        <ns0:v>3.180327868852459</ns0:v>
      </ns0:c>
      <ns0:c r="O33" s="175" t="n">
        <ns0:v>4.098360655737705</ns0:v>
      </ns0:c>
      <ns0:c r="P33" s="125" t="n">
        <ns0:v>3.026315789473684</ns0:v>
      </ns0:c>
    </ns0:row>
    <ns0:row r="34" ht="22" customHeight="1">
      <ns0:c r="A34" s="53" t="str">
        <ns0:v>【指标】T2B（4–5分） ↑</ns0:v>
      </ns0:c>
      <ns0:c r="B34" s="61" t="n">
        <ns0:v>0.5055555555555555</ns0:v>
      </ns0:c>
      <ns0:c r="C34" s="167" t="n">
        <ns0:v>0.6885245901639344</ns0:v>
      </ns0:c>
      <ns0:c r="D34" s="138" t="n">
        <ns0:v>0.5263157894736842</ns0:v>
      </ns0:c>
      <ns0:c r="E34" s="140" t="n">
        <ns0:v>0.56</ns0:v>
      </ns0:c>
      <ns0:c r="F34" s="142" t="n">
        <ns0:v>0.13513513513513514</ns0:v>
      </ns0:c>
      <ns0:c r="G34" s="68" t="n">
        <ns0:v>0.45544554455445546</ns0:v>
      </ns0:c>
      <ns0:c r="H34" s="62" t="n">
        <ns0:v>0.569620253164557</ns0:v>
      </ns0:c>
      <ns0:c r="I34" s="173" t="n">
        <ns0:v>1</ns0:v>
      </ns0:c>
      <ns0:c r="J34" s="147" t="n">
        <ns0:v>0</ns0:v>
      </ns0:c>
      <ns0:c r="K34" s="68" t="n">
        <ns0:v>0.5066666666666667</ns0:v>
      </ns0:c>
      <ns0:c r="L34" s="62" t="n">
        <ns0:v>0.5050505050505051</ns0:v>
      </ns0:c>
      <ns0:c r="M34" s="171" t="n">
        <ns0:v>0.7413793103448276</ns0:v>
      </ns0:c>
      <ns0:c r="N34" s="142" t="n">
        <ns0:v>0.39344262295081966</ns0:v>
      </ns0:c>
      <ns0:c r="O34" s="171" t="n">
        <ns0:v>0.9016393442622951</ns0:v>
      </ns0:c>
      <ns0:c r="P34" s="142" t="n">
        <ns0:v>0.2982456140350877</ns0:v>
      </ns0:c>
    </ns0:row>
    <ns0:row r="35" ht="22" customHeight="1">
      <ns0:c r="A35" s="53" t="str">
        <ns0:v>【指标】B2B（1–2分） ↓</ns0:v>
      </ns0:c>
      <ns0:c r="B35" s="61" t="n">
        <ns0:v>0.17222222222222222</ns0:v>
      </ns0:c>
      <ns0:c r="C35" s="68" t="n">
        <ns0:v>0.04918032786885246</ns0:v>
      </ns0:c>
      <ns0:c r="D35" s="62" t="n">
        <ns0:v>0.08771929824561403</ns0:v>
      </ns0:c>
      <ns0:c r="E35" s="64" t="n">
        <ns0:v>0.04</ns0:v>
      </ns0:c>
      <ns0:c r="F35" s="151" t="n">
        <ns0:v>0.5945945945945946</ns0:v>
      </ns0:c>
      <ns0:c r="G35" s="171" t="n">
        <ns0:v>0.2376237623762376</ns0:v>
      </ns0:c>
      <ns0:c r="H35" s="142" t="n">
        <ns0:v>0.08860759493670886</ns0:v>
      </ns0:c>
      <ns0:c r="I35" s="174" t="n">
        <ns0:v>0</ns0:v>
      </ns0:c>
      <ns0:c r="J35" s="153" t="n">
        <ns0:v>0.34831460674157305</ns0:v>
      </ns0:c>
      <ns0:c r="K35" s="68" t="n">
        <ns0:v>0.18666666666666668</ns0:v>
      </ns0:c>
      <ns0:c r="L35" s="62" t="n">
        <ns0:v>0.16161616161616163</ns0:v>
      </ns0:c>
      <ns0:c r="M35" s="176" t="n">
        <ns0:v>0.06896551724137931</ns0:v>
      </ns0:c>
      <ns0:c r="N35" s="155" t="n">
        <ns0:v>0.22131147540983606</ns0:v>
      </ns0:c>
      <ns0:c r="O35" s="176" t="n">
        <ns0:v>0</ns0:v>
      </ns0:c>
      <ns0:c r="P35" s="155" t="n">
        <ns0:v>0.2719298245614035</ns0:v>
      </ns0:c>
    </ns0:row>
    <ns0:row r="36" ht="22" customHeight="1">
      <ns0:c r="A36" s="26" t="str">
        <ns0:v>很不满意</ns0:v>
      </ns0:c>
      <ns0:c r="B36" s="28" t="n">
        <ns0:v>0.016666666666666666</ns0:v>
      </ns0:c>
      <ns0:c r="C36" s="44" t="n">
        <ns0:v>0</ns0:v>
      </ns0:c>
      <ns0:c r="D36" s="29" t="n">
        <ns0:v>0</ns0:v>
      </ns0:c>
      <ns0:c r="E36" s="31" t="n">
        <ns0:v>0</ns0:v>
      </ns0:c>
      <ns0:c r="F36" s="157" t="n">
        <ns0:v>0.08108108108108109</ns0:v>
      </ns0:c>
      <ns0:c r="G36" s="44" t="n">
        <ns0:v>0.019801980198019802</ns0:v>
      </ns0:c>
      <ns0:c r="H36" s="29" t="n">
        <ns0:v>0.012658227848101266</ns0:v>
      </ns0:c>
      <ns0:c r="I36" s="104" t="n">
        <ns0:v>0</ns0:v>
      </ns0:c>
      <ns0:c r="J36" s="100" t="n">
        <ns0:v>0.033707865168539325</ns0:v>
      </ns0:c>
      <ns0:c r="K36" s="44" t="n">
        <ns0:v>0.02666666666666667</ns0:v>
      </ns0:c>
      <ns0:c r="L36" s="29" t="n">
        <ns0:v>0.010101010101010102</ns0:v>
      </ns0:c>
      <ns0:c r="M36" s="44" t="n">
        <ns0:v>0</ns0:v>
      </ns0:c>
      <ns0:c r="N36" s="29" t="n">
        <ns0:v>0.02459016393442623</ns0:v>
      </ns0:c>
      <ns0:c r="O36" s="44" t="n">
        <ns0:v>0</ns0:v>
      </ns0:c>
      <ns0:c r="P36" s="29" t="n">
        <ns0:v>0.02631578947368421</ns0:v>
      </ns0:c>
    </ns0:row>
    <ns0:row r="37" ht="22" customHeight="1">
      <ns0:c r="A37" s="26" t="str">
        <ns0:v>不满意</ns0:v>
      </ns0:c>
      <ns0:c r="B37" s="28" t="n">
        <ns0:v>0.15555555555555556</ns0:v>
      </ns0:c>
      <ns0:c r="C37" s="44" t="n">
        <ns0:v>0.04918032786885246</ns0:v>
      </ns0:c>
      <ns0:c r="D37" s="29" t="n">
        <ns0:v>0.08771929824561403</ns0:v>
      </ns0:c>
      <ns0:c r="E37" s="31" t="n">
        <ns0:v>0.04</ns0:v>
      </ns0:c>
      <ns0:c r="F37" s="159" t="n">
        <ns0:v>0.5135135135135135</ns0:v>
      </ns0:c>
      <ns0:c r="G37" s="105" t="n">
        <ns0:v>0.21782178217821782</ns0:v>
      </ns0:c>
      <ns0:c r="H37" s="96" t="n">
        <ns0:v>0.0759493670886076</ns0:v>
      </ns0:c>
      <ns0:c r="I37" s="104" t="n">
        <ns0:v>0</ns0:v>
      </ns0:c>
      <ns0:c r="J37" s="100" t="n">
        <ns0:v>0.3146067415730337</ns0:v>
      </ns0:c>
      <ns0:c r="K37" s="44" t="n">
        <ns0:v>0.16</ns0:v>
      </ns0:c>
      <ns0:c r="L37" s="29" t="n">
        <ns0:v>0.15151515151515152</ns0:v>
      </ns0:c>
      <ns0:c r="M37" s="106" t="n">
        <ns0:v>0.06896551724137931</ns0:v>
      </ns0:c>
      <ns0:c r="N37" s="102" t="n">
        <ns0:v>0.19672131147540983</ns0:v>
      </ns0:c>
      <ns0:c r="O37" s="106" t="n">
        <ns0:v>0</ns0:v>
      </ns0:c>
      <ns0:c r="P37" s="102" t="n">
        <ns0:v>0.24561403508771928</ns0:v>
      </ns0:c>
    </ns0:row>
    <ns0:row r="38" ht="22" customHeight="1">
      <ns0:c r="A38" s="26" t="str">
        <ns0:v>一般</ns0:v>
      </ns0:c>
      <ns0:c r="B38" s="28" t="n">
        <ns0:v>0.32222222222222224</ns0:v>
      </ns0:c>
      <ns0:c r="C38" s="44" t="n">
        <ns0:v>0.26229508196721313</ns0:v>
      </ns0:c>
      <ns0:c r="D38" s="29" t="n">
        <ns0:v>0.38596491228070173</ns0:v>
      </ns0:c>
      <ns0:c r="E38" s="31" t="n">
        <ns0:v>0.4</ns0:v>
      </ns0:c>
      <ns0:c r="F38" s="29" t="n">
        <ns0:v>0.2702702702702703</ns0:v>
      </ns0:c>
      <ns0:c r="G38" s="44" t="n">
        <ns0:v>0.3069306930693069</ns0:v>
      </ns0:c>
      <ns0:c r="H38" s="29" t="n">
        <ns0:v>0.34177215189873417</ns0:v>
      </ns0:c>
      <ns0:c r="I38" s="104" t="n">
        <ns0:v>0</ns0:v>
      </ns0:c>
      <ns0:c r="J38" s="100" t="n">
        <ns0:v>0.651685393258427</ns0:v>
      </ns0:c>
      <ns0:c r="K38" s="44" t="n">
        <ns0:v>0.30666666666666664</ns0:v>
      </ns0:c>
      <ns0:c r="L38" s="29" t="n">
        <ns0:v>0.3333333333333333</ns0:v>
      </ns0:c>
      <ns0:c r="M38" s="106" t="n">
        <ns0:v>0.1896551724137931</ns0:v>
      </ns0:c>
      <ns0:c r="N38" s="102" t="n">
        <ns0:v>0.38524590163934425</ns0:v>
      </ns0:c>
      <ns0:c r="O38" s="106" t="n">
        <ns0:v>0.09836065573770492</ns0:v>
      </ns0:c>
      <ns0:c r="P38" s="102" t="n">
        <ns0:v>0.4298245614035088</ns0:v>
      </ns0:c>
    </ns0:row>
    <ns0:row r="39" ht="22" customHeight="1">
      <ns0:c r="A39" s="26" t="str">
        <ns0:v>满意</ns0:v>
      </ns0:c>
      <ns0:c r="B39" s="28" t="n">
        <ns0:v>0.4222222222222222</ns0:v>
      </ns0:c>
      <ns0:c r="C39" s="168" t="n">
        <ns0:v>0.5245901639344263</ns0:v>
      </ns0:c>
      <ns0:c r="D39" s="161" t="n">
        <ns0:v>0.49122807017543857</ns0:v>
      </ns0:c>
      <ns0:c r="E39" s="163" t="n">
        <ns0:v>0.44</ns0:v>
      </ns0:c>
      <ns0:c r="F39" s="96" t="n">
        <ns0:v>0.13513513513513514</ns0:v>
      </ns0:c>
      <ns0:c r="G39" s="44" t="n">
        <ns0:v>0.38613861386138615</ns0:v>
      </ns0:c>
      <ns0:c r="H39" s="29" t="n">
        <ns0:v>0.46835443037974683</ns0:v>
      </ns0:c>
      <ns0:c r="I39" s="103" t="n">
        <ns0:v>0.8351648351648352</ns0:v>
      </ns0:c>
      <ns0:c r="J39" s="92" t="n">
        <ns0:v>0</ns0:v>
      </ns0:c>
      <ns0:c r="K39" s="44" t="n">
        <ns0:v>0.44</ns0:v>
      </ns0:c>
      <ns0:c r="L39" s="29" t="n">
        <ns0:v>0.41414141414141414</ns0:v>
      </ns0:c>
      <ns0:c r="M39" s="105" t="n">
        <ns0:v>0.5517241379310345</ns0:v>
      </ns0:c>
      <ns0:c r="N39" s="96" t="n">
        <ns0:v>0.36065573770491804</ns0:v>
      </ns0:c>
      <ns0:c r="O39" s="105" t="n">
        <ns0:v>0.7049180327868853</ns0:v>
      </ns0:c>
      <ns0:c r="P39" s="96" t="n">
        <ns0:v>0.2719298245614035</ns0:v>
      </ns0:c>
    </ns0:row>
    <ns0:row r="40" ht="22" customHeight="1">
      <ns0:c r="A40" s="26" t="str">
        <ns0:v>非常满意</ns0:v>
      </ns0:c>
      <ns0:c r="B40" s="28" t="n">
        <ns0:v>0.08333333333333333</ns0:v>
      </ns0:c>
      <ns0:c r="C40" s="169" t="n">
        <ns0:v>0.16393442622950818</ns0:v>
      </ns0:c>
      <ns0:c r="D40" s="29" t="n">
        <ns0:v>0.03508771929824561</ns0:v>
      </ns0:c>
      <ns0:c r="E40" s="163" t="n">
        <ns0:v>0.12</ns0:v>
      </ns0:c>
      <ns0:c r="F40" s="29" t="n">
        <ns0:v>0</ns0:v>
      </ns0:c>
      <ns0:c r="G40" s="44" t="n">
        <ns0:v>0.06930693069306931</ns0:v>
      </ns0:c>
      <ns0:c r="H40" s="29" t="n">
        <ns0:v>0.10126582278481013</ns0:v>
      </ns0:c>
      <ns0:c r="I40" s="103" t="n">
        <ns0:v>0.16483516483516483</ns0:v>
      </ns0:c>
      <ns0:c r="J40" s="92" t="n">
        <ns0:v>0</ns0:v>
      </ns0:c>
      <ns0:c r="K40" s="44" t="n">
        <ns0:v>0.06666666666666667</ns0:v>
      </ns0:c>
      <ns0:c r="L40" s="29" t="n">
        <ns0:v>0.09090909090909091</ns0:v>
      </ns0:c>
      <ns0:c r="M40" s="105" t="n">
        <ns0:v>0.1896551724137931</ns0:v>
      </ns0:c>
      <ns0:c r="N40" s="96" t="n">
        <ns0:v>0.03278688524590164</ns0:v>
      </ns0:c>
      <ns0:c r="O40" s="105" t="n">
        <ns0:v>0.19672131147540983</ns0:v>
      </ns0:c>
      <ns0:c r="P40" s="96" t="n">
        <ns0:v>0.02631578947368421</ns0:v>
      </ns0:c>
    </ns0:row>
    <ns0:row r="41" ht="24" customHeight="1">
      <ns0:c r="A41" s="39" t="str">
        <ns0:v>Total</ns0:v>
      </ns0:c>
      <ns0:c r="B41" s="40" t="n">
        <ns0:f>SUM('体验问卷大表'!B36,'体验问卷大表'!B37,'体验问卷大表'!B38,'体验问卷大表'!B39,'体验问卷大表'!B40)</ns0:f>
        <ns0:v>1</ns0:v>
      </ns0:c>
      <ns0:c r="C41" s="45" t="n">
        <ns0:f>SUM('体验问卷大表'!C36,'体验问卷大表'!C37,'体验问卷大表'!C38,'体验问卷大表'!C39,'体验问卷大表'!C40)</ns0:f>
        <ns0:v>1</ns0:v>
      </ns0:c>
      <ns0:c r="D41" s="40" t="n">
        <ns0:f>SUM('体验问卷大表'!D36,'体验问卷大表'!D37,'体验问卷大表'!D38,'体验问卷大表'!D39,'体验问卷大表'!D40)</ns0:f>
        <ns0:v>0.9999999999999999</ns0:v>
      </ns0:c>
      <ns0:c r="E41" s="40" t="n">
        <ns0:f>SUM('体验问卷大表'!E36,'体验问卷大表'!E37,'体验问卷大表'!E38,'体验问卷大表'!E39,'体验问卷大表'!E40)</ns0:f>
        <ns0:v>1</ns0:v>
      </ns0:c>
      <ns0:c r="F41" s="40" t="n">
        <ns0:f>SUM('体验问卷大表'!F36,'体验问卷大表'!F37,'体验问卷大表'!F38,'体验问卷大表'!F39,'体验问卷大表'!F40)</ns0:f>
        <ns0:v>1</ns0:v>
      </ns0:c>
      <ns0:c r="G41" s="45" t="n">
        <ns0:f>SUM('体验问卷大表'!G36,'体验问卷大表'!G37,'体验问卷大表'!G38,'体验问卷大表'!G39,'体验问卷大表'!G40)</ns0:f>
        <ns0:v>1</ns0:v>
      </ns0:c>
      <ns0:c r="H41" s="40" t="n">
        <ns0:f>SUM('体验问卷大表'!H36,'体验问卷大表'!H37,'体验问卷大表'!H38,'体验问卷大表'!H39,'体验问卷大表'!H40)</ns0:f>
        <ns0:v>0.9999999999999999</ns0:v>
      </ns0:c>
      <ns0:c r="I41" s="45" t="n">
        <ns0:f>SUM('体验问卷大表'!I36,'体验问卷大表'!I37,'体验问卷大表'!I38,'体验问卷大表'!I39,'体验问卷大表'!I40)</ns0:f>
        <ns0:v>1</ns0:v>
      </ns0:c>
      <ns0:c r="J41" s="40" t="n">
        <ns0:f>SUM('体验问卷大表'!J36,'体验问卷大表'!J37,'体验问卷大表'!J38,'体验问卷大表'!J39,'体验问卷大表'!J40)</ns0:f>
        <ns0:v>1</ns0:v>
      </ns0:c>
      <ns0:c r="K41" s="45" t="n">
        <ns0:f>SUM('体验问卷大表'!K36,'体验问卷大表'!K37,'体验问卷大表'!K38,'体验问卷大表'!K39,'体验问卷大表'!K40)</ns0:f>
        <ns0:v>1</ns0:v>
      </ns0:c>
      <ns0:c r="L41" s="40" t="n">
        <ns0:f>SUM('体验问卷大表'!L36,'体验问卷大表'!L37,'体验问卷大表'!L38,'体验问卷大表'!L39,'体验问卷大表'!L40)</ns0:f>
        <ns0:v>1</ns0:v>
      </ns0:c>
      <ns0:c r="M41" s="45" t="n">
        <ns0:f>SUM('体验问卷大表'!M36,'体验问卷大表'!M37,'体验问卷大表'!M38,'体验问卷大表'!M39,'体验问卷大表'!M40)</ns0:f>
        <ns0:v>1</ns0:v>
      </ns0:c>
      <ns0:c r="N41" s="40" t="n">
        <ns0:f>SUM('体验问卷大表'!N36,'体验问卷大表'!N37,'体验问卷大表'!N38,'体验问卷大表'!N39,'体验问卷大表'!N40)</ns0:f>
        <ns0:v>1</ns0:v>
      </ns0:c>
      <ns0:c r="O41" s="45" t="n">
        <ns0:f>SUM('体验问卷大表'!O36,'体验问卷大表'!O37,'体验问卷大表'!O38,'体验问卷大表'!O39,'体验问卷大表'!O40)</ns0:f>
        <ns0:v>1</ns0:v>
      </ns0:c>
      <ns0:c r="P41" s="40" t="n">
        <ns0:f>SUM('体验问卷大表'!P36,'体验问卷大表'!P37,'体验问卷大表'!P38,'体验问卷大表'!P39,'体验问卷大表'!P40)</ns0:f>
        <ns0:v>0.9999999999999999</ns0:v>
      </ns0:c>
    </ns0:row>
    <ns0:row r="44" ht="24" customHeight="1">
      <ns0:c r="A44" s="17" t="str">
        <ns0:v>上手表现</ns0:v>
      </ns0:c>
      <ns0:c r="B44" s="18" t="str">
        <ns0:v>返回目录</ns0:v>
      </ns0:c>
      <ns0:c r="C44" s="17"/>
      <ns0:c r="D44" s="17"/>
      <ns0:c r="E44" s="17"/>
      <ns0:c r="F44" s="17"/>
      <ns0:c r="G44" s="17"/>
      <ns0:c r="H44" s="17"/>
      <ns0:c r="I44" s="17"/>
      <ns0:c r="J44" s="17"/>
      <ns0:c r="K44" s="17"/>
      <ns0:c r="L44" s="17"/>
      <ns0:c r="M44" s="17"/>
      <ns0:c r="N44" s="17"/>
      <ns0:c r="O44" s="17"/>
      <ns0:c r="P44" s="17"/>
    </ns0:row>
    <ns0:row r="45" ht="22" customHeight="1">
      <ns0:c r="A45" s="10" t="str">
        <ns0:v>分组族</ns0:v>
      </ns0:c>
      <ns0:c r="B45" s="11" t="str">
        <ns0:v>总体</ns0:v>
      </ns0:c>
      <ns0:c r="C45" s="41" t="str">
        <ns0:v>玩家经验互斥</ns0:v>
      </ns0:c>
      <ns0:c r="D45" s="12"/>
      <ns0:c r="E45" s="12"/>
      <ns0:c r="F45" s="12"/>
      <ns0:c r="G45" s="46" t="str">
        <ns0:v>参与平台</ns0:v>
      </ns0:c>
      <ns0:c r="H45" s="13"/>
      <ns0:c r="I45" s="48" t="str">
        <ns0:v>满意度分层</ns0:v>
      </ns0:c>
      <ns0:c r="J45" s="14"/>
      <ns0:c r="K45" s="48" t="str">
        <ns0:v>上手表现分层</ns0:v>
      </ns0:c>
      <ns0:c r="L45" s="14"/>
      <ns0:c r="M45" s="48" t="str">
        <ns0:v>继续游玩分层</ns0:v>
      </ns0:c>
      <ns0:c r="N45" s="14"/>
      <ns0:c r="O45" s="48" t="str">
        <ns0:v>推荐意愿分层</ns0:v>
      </ns0:c>
      <ns0:c r="P45" s="14"/>
    </ns0:row>
    <ns0:row r="46" ht="44" customHeight="1">
      <ns0:c r="A46" s="10" t="str">
        <ns0:v>选项 / 指标</ns0:v>
      </ns0:c>
      <ns0:c r="B46" s="11" t="str">
        <ns0:v>Total</ns0:v>
      </ns0:c>
      <ns0:c r="C46" s="41" t="str">
        <ns0:v>横版动作核心 (A)</ns0:v>
      </ns0:c>
      <ns0:c r="D46" s="12" t="str">
        <ns0:v>二游ARPG (B)</ns0:v>
      </ns0:c>
      <ns0:c r="E46" s="12" t="str">
        <ns0:v>银河恶魔城 (C)</ns0:v>
      </ns0:c>
      <ns0:c r="F46" s="12" t="str">
        <ns0:v>泛用户 (D)</ns0:v>
      </ns0:c>
      <ns0:c r="G46" s="46" t="str">
        <ns0:v>移动端 (A)</ns0:v>
      </ns0:c>
      <ns0:c r="H46" s="13" t="str">
        <ns0:v>PC/主机 (B)</ns0:v>
      </ns0:c>
      <ns0:c r="I46" s="48" t="str">
        <ns0:v>高满意（4–5分） (A)</ns0:v>
      </ns0:c>
      <ns0:c r="J46" s="14" t="str">
        <ns0:v>非高满意（1–3分） (B)</ns0:v>
      </ns0:c>
      <ns0:c r="K46" s="48" t="str">
        <ns0:v>容易上手（4–5分） (A) ‡</ns0:v>
      </ns0:c>
      <ns0:c r="L46" s="14" t="str">
        <ns0:v>非容易上手（1–3分） (B) ‡</ns0:v>
      </ns0:c>
      <ns0:c r="M46" s="48" t="str">
        <ns0:v>高意愿（4–5分） (A)</ns0:v>
      </ns0:c>
      <ns0:c r="N46" s="14" t="str">
        <ns0:v>非高意愿（1–3分） (B)</ns0:v>
      </ns0:c>
      <ns0:c r="O46" s="48" t="str">
        <ns0:v>推荐者（9–10分） (A)</ns0:v>
      </ns0:c>
      <ns0:c r="P46" s="14" t="str">
        <ns0:v>非推荐者（0–8分） (B)</ns0:v>
      </ns0:c>
    </ns0:row>
    <ns0:row r="47">
      <ns0:c r="A47" s="20" t="str">
        <ns0:v>基数（n）：有效回答该题</ns0:v>
      </ns0:c>
      <ns0:c r="B47" s="21" t="n">
        <ns0:v>174</ns0:v>
      </ns0:c>
      <ns0:c r="C47" s="42" t="n">
        <ns0:v>59</ns0:v>
      </ns0:c>
      <ns0:c r="D47" s="21" t="n">
        <ns0:v>56</ns0:v>
      </ns0:c>
      <ns0:c r="E47" s="22" t="n">
        <ns0:v>24</ns0:v>
      </ns0:c>
      <ns0:c r="F47" s="21" t="n">
        <ns0:v>35</ns0:v>
      </ns0:c>
      <ns0:c r="G47" s="42" t="n">
        <ns0:v>98</ns0:v>
      </ns0:c>
      <ns0:c r="H47" s="21" t="n">
        <ns0:v>76</ns0:v>
      </ns0:c>
      <ns0:c r="I47" s="42" t="n">
        <ns0:v>88</ns0:v>
      </ns0:c>
      <ns0:c r="J47" s="21" t="n">
        <ns0:v>86</ns0:v>
      </ns0:c>
      <ns0:c r="K47" s="42" t="n">
        <ns0:v>75</ns0:v>
      </ns0:c>
      <ns0:c r="L47" s="21" t="n">
        <ns0:v>99</ns0:v>
      </ns0:c>
      <ns0:c r="M47" s="42" t="n">
        <ns0:v>56</ns0:v>
      </ns0:c>
      <ns0:c r="N47" s="21" t="n">
        <ns0:v>118</ns0:v>
      </ns0:c>
      <ns0:c r="O47" s="42" t="n">
        <ns0:v>58</ns0:v>
      </ns0:c>
      <ns0:c r="P47" s="21" t="n">
        <ns0:v>111</ns0:v>
      </ns0:c>
    </ns0:row>
    <ns0:row r="48" ht="26" customHeight="1">
      <ns0:c r="A48" s="25" t="str">
        <ns0:v>[Q4].你认为游戏是否容易上手？</ns0:v>
      </ns0:c>
      <ns0:c r="B48" s="25"/>
      <ns0:c r="C48" s="43"/>
      <ns0:c r="D48" s="25"/>
      <ns0:c r="E48" s="25"/>
      <ns0:c r="F48" s="25"/>
      <ns0:c r="G48" s="43"/>
      <ns0:c r="H48" s="25"/>
      <ns0:c r="I48" s="43"/>
      <ns0:c r="J48" s="25"/>
      <ns0:c r="K48" s="43"/>
      <ns0:c r="L48" s="25"/>
      <ns0:c r="M48" s="43"/>
      <ns0:c r="N48" s="25"/>
      <ns0:c r="O48" s="43"/>
      <ns0:c r="P48" s="25"/>
    </ns0:row>
    <ns0:row r="49" ht="22" customHeight="1">
      <ns0:c r="A49" s="53" t="str">
        <ns0:v>Mean ↑</ns0:v>
      </ns0:c>
      <ns0:c r="B49" s="56" t="n">
        <ns0:v>3.3505747126436782</ns0:v>
      </ns0:c>
      <ns0:c r="C49" s="187" t="n">
        <ns0:v>3.864406779661017</ns0:v>
      </ns0:c>
      <ns0:c r="D49" s="57" t="n">
        <ns0:v>3.0892857142857144</ns0:v>
      </ns0:c>
      <ns0:c r="E49" s="59" t="n">
        <ns0:v>3.0833333333333335</ns0:v>
      </ns0:c>
      <ns0:c r="F49" s="57" t="n">
        <ns0:v>3.085714285714286</ns0:v>
      </ns0:c>
      <ns0:c r="G49" s="69" t="n">
        <ns0:v>3.4489795918367347</ns0:v>
      </ns0:c>
      <ns0:c r="H49" s="57" t="n">
        <ns0:v>3.223684210526316</ns0:v>
      </ns0:c>
      <ns0:c r="I49" s="69" t="n">
        <ns0:v>3.4431818181818183</ns0:v>
      </ns0:c>
      <ns0:c r="J49" s="57" t="n">
        <ns0:v>3.255813953488372</ns0:v>
      </ns0:c>
      <ns0:c r="K49" s="172" t="n">
        <ns0:v>4.213333333333333</ns0:v>
      </ns0:c>
      <ns0:c r="L49" s="132" t="n">
        <ns0:v>2.696969696969697</ns0:v>
      </ns0:c>
      <ns0:c r="M49" s="69" t="n">
        <ns0:v>3.5</ns0:v>
      </ns0:c>
      <ns0:c r="N49" s="57" t="n">
        <ns0:v>3.2796610169491527</ns0:v>
      </ns0:c>
      <ns0:c r="O49" s="69" t="n">
        <ns0:v>3.4655172413793105</ns0:v>
      </ns0:c>
      <ns0:c r="P49" s="57" t="n">
        <ns0:v>3.2972972972972974</ns0:v>
      </ns0:c>
    </ns0:row>
    <ns0:row r="50" ht="22" customHeight="1">
      <ns0:c r="A50" s="53" t="str">
        <ns0:v>【指标】T2B（4–5分） ↑</ns0:v>
      </ns0:c>
      <ns0:c r="B50" s="61" t="n">
        <ns0:v>0.43103448275862066</ns0:v>
      </ns0:c>
      <ns0:c r="C50" s="188" t="n">
        <ns0:v>0.6610169491525424</ns0:v>
      </ns0:c>
      <ns0:c r="D50" s="62" t="n">
        <ns0:v>0.32142857142857145</ns0:v>
      </ns0:c>
      <ns0:c r="E50" s="64" t="n">
        <ns0:v>0.2916666666666667</ns0:v>
      </ns0:c>
      <ns0:c r="F50" s="62" t="n">
        <ns0:v>0.3142857142857143</ns0:v>
      </ns0:c>
      <ns0:c r="G50" s="171" t="n">
        <ns0:v>0.4897959183673469</ns0:v>
      </ns0:c>
      <ns0:c r="H50" s="142" t="n">
        <ns0:v>0.35526315789473684</ns0:v>
      </ns0:c>
      <ns0:c r="I50" s="68" t="n">
        <ns0:v>0.4318181818181818</ns0:v>
      </ns0:c>
      <ns0:c r="J50" s="62" t="n">
        <ns0:v>0.43023255813953487</ns0:v>
      </ns0:c>
      <ns0:c r="K50" s="173" t="n">
        <ns0:v>1</ns0:v>
      </ns0:c>
      <ns0:c r="L50" s="147" t="n">
        <ns0:v>0</ns0:v>
      </ns0:c>
      <ns0:c r="M50" s="68" t="n">
        <ns0:v>0.44642857142857145</ns0:v>
      </ns0:c>
      <ns0:c r="N50" s="62" t="n">
        <ns0:v>0.423728813559322</ns0:v>
      </ns0:c>
      <ns0:c r="O50" s="68" t="n">
        <ns0:v>0.4482758620689655</ns0:v>
      </ns0:c>
      <ns0:c r="P50" s="62" t="n">
        <ns0:v>0.42342342342342343</ns0:v>
      </ns0:c>
    </ns0:row>
    <ns0:row r="51" ht="22" customHeight="1">
      <ns0:c r="A51" s="53" t="str">
        <ns0:v>【指标】B2B（1–2分） ↓</ns0:v>
      </ns0:c>
      <ns0:c r="B51" s="61" t="n">
        <ns0:v>0.16091954022988506</ns0:v>
      </ns0:c>
      <ns0:c r="C51" s="176" t="n">
        <ns0:v>0.03389830508474576</ns0:v>
      </ns0:c>
      <ns0:c r="D51" s="155" t="n">
        <ns0:v>0.23214285714285715</ns0:v>
      </ns0:c>
      <ns0:c r="E51" s="182" t="n">
        <ns0:v>0.25</ns0:v>
      </ns0:c>
      <ns0:c r="F51" s="155" t="n">
        <ns0:v>0.2</ns0:v>
      </ns0:c>
      <ns0:c r="G51" s="68" t="n">
        <ns0:v>0.1326530612244898</ns0:v>
      </ns0:c>
      <ns0:c r="H51" s="62" t="n">
        <ns0:v>0.19736842105263158</ns0:v>
      </ns0:c>
      <ns0:c r="I51" s="176" t="n">
        <ns0:v>0.11363636363636363</ns0:v>
      </ns0:c>
      <ns0:c r="J51" s="155" t="n">
        <ns0:v>0.20930232558139536</ns0:v>
      </ns0:c>
      <ns0:c r="K51" s="174" t="n">
        <ns0:v>0</ns0:v>
      </ns0:c>
      <ns0:c r="L51" s="153" t="n">
        <ns0:v>0.2828282828282828</ns0:v>
      </ns0:c>
      <ns0:c r="M51" s="176" t="n">
        <ns0:v>0.08928571428571429</ns0:v>
      </ns0:c>
      <ns0:c r="N51" s="155" t="n">
        <ns0:v>0.19491525423728814</ns0:v>
      </ns0:c>
      <ns0:c r="O51" s="68" t="n">
        <ns0:v>0.08620689655172414</ns0:v>
      </ns0:c>
      <ns0:c r="P51" s="62" t="n">
        <ns0:v>0.18018018018018017</ns0:v>
      </ns0:c>
    </ns0:row>
    <ns0:row r="52" ht="22" customHeight="1">
      <ns0:c r="A52" s="26" t="str">
        <ns0:v>非常难</ns0:v>
      </ns0:c>
      <ns0:c r="B52" s="28" t="n">
        <ns0:v>0.011494252873563218</ns0:v>
      </ns0:c>
      <ns0:c r="C52" s="44" t="n">
        <ns0:v>0</ns0:v>
      </ns0:c>
      <ns0:c r="D52" s="29" t="n">
        <ns0:v>0</ns0:v>
      </ns0:c>
      <ns0:c r="E52" s="31" t="n">
        <ns0:v>0</ns0:v>
      </ns0:c>
      <ns0:c r="F52" s="157" t="n">
        <ns0:v>0.05714285714285714</ns0:v>
      </ns0:c>
      <ns0:c r="G52" s="44" t="n">
        <ns0:v>0</ns0:v>
      </ns0:c>
      <ns0:c r="H52" s="29" t="n">
        <ns0:v>0.02631578947368421</ns0:v>
      </ns0:c>
      <ns0:c r="I52" s="44" t="n">
        <ns0:v>0</ns0:v>
      </ns0:c>
      <ns0:c r="J52" s="29" t="n">
        <ns0:v>0.023255813953488372</ns0:v>
      </ns0:c>
      <ns0:c r="K52" s="117" t="n">
        <ns0:v>0</ns0:v>
      </ns0:c>
      <ns0:c r="L52" s="90" t="n">
        <ns0:v>0.020202020202020204</ns0:v>
      </ns0:c>
      <ns0:c r="M52" s="44" t="n">
        <ns0:v>0</ns0:v>
      </ns0:c>
      <ns0:c r="N52" s="29" t="n">
        <ns0:v>0.01694915254237288</ns0:v>
      </ns0:c>
      <ns0:c r="O52" s="44" t="n">
        <ns0:v>0</ns0:v>
      </ns0:c>
      <ns0:c r="P52" s="29" t="n">
        <ns0:v>0.018018018018018018</ns0:v>
      </ns0:c>
    </ns0:row>
    <ns0:row r="53" ht="22" customHeight="1">
      <ns0:c r="A53" s="26" t="str">
        <ns0:v>比较难</ns0:v>
      </ns0:c>
      <ns0:c r="B53" s="28" t="n">
        <ns0:v>0.14942528735632185</ns0:v>
      </ns0:c>
      <ns0:c r="C53" s="106" t="n">
        <ns0:v>0.03389830508474576</ns0:v>
      </ns0:c>
      <ns0:c r="D53" s="102" t="n">
        <ns0:v>0.23214285714285715</ns0:v>
      </ns0:c>
      <ns0:c r="E53" s="184" t="n">
        <ns0:v>0.25</ns0:v>
      </ns0:c>
      <ns0:c r="F53" s="102" t="n">
        <ns0:v>0.14285714285714285</ns0:v>
      </ns0:c>
      <ns0:c r="G53" s="44" t="n">
        <ns0:v>0.1326530612244898</ns0:v>
      </ns0:c>
      <ns0:c r="H53" s="29" t="n">
        <ns0:v>0.17105263157894737</ns0:v>
      </ns0:c>
      <ns0:c r="I53" s="44" t="n">
        <ns0:v>0.11363636363636363</ns0:v>
      </ns0:c>
      <ns0:c r="J53" s="29" t="n">
        <ns0:v>0.18604651162790697</ns0:v>
      </ns0:c>
      <ns0:c r="K53" s="104" t="n">
        <ns0:v>0</ns0:v>
      </ns0:c>
      <ns0:c r="L53" s="100" t="n">
        <ns0:v>0.26262626262626265</ns0:v>
      </ns0:c>
      <ns0:c r="M53" s="44" t="n">
        <ns0:v>0.08928571428571429</ns0:v>
      </ns0:c>
      <ns0:c r="N53" s="29" t="n">
        <ns0:v>0.17796610169491525</ns0:v>
      </ns0:c>
      <ns0:c r="O53" s="44" t="n">
        <ns0:v>0.08620689655172414</ns0:v>
      </ns0:c>
      <ns0:c r="P53" s="29" t="n">
        <ns0:v>0.16216216216216217</ns0:v>
      </ns0:c>
    </ns0:row>
    <ns0:row r="54" ht="22" customHeight="1">
      <ns0:c r="A54" s="26" t="str">
        <ns0:v>一般</ns0:v>
      </ns0:c>
      <ns0:c r="B54" s="28" t="n">
        <ns0:v>0.40804597701149425</ns0:v>
      </ns0:c>
      <ns0:c r="C54" s="44" t="n">
        <ns0:v>0.3050847457627119</ns0:v>
      </ns0:c>
      <ns0:c r="D54" s="29" t="n">
        <ns0:v>0.44642857142857145</ns0:v>
      </ns0:c>
      <ns0:c r="E54" s="31" t="n">
        <ns0:v>0.4583333333333333</ns0:v>
      </ns0:c>
      <ns0:c r="F54" s="102" t="n">
        <ns0:v>0.4857142857142857</ns0:v>
      </ns0:c>
      <ns0:c r="G54" s="44" t="n">
        <ns0:v>0.37755102040816324</ns0:v>
      </ns0:c>
      <ns0:c r="H54" s="29" t="n">
        <ns0:v>0.4473684210526316</ns0:v>
      </ns0:c>
      <ns0:c r="I54" s="44" t="n">
        <ns0:v>0.45454545454545453</ns0:v>
      </ns0:c>
      <ns0:c r="J54" s="29" t="n">
        <ns0:v>0.36046511627906974</ns0:v>
      </ns0:c>
      <ns0:c r="K54" s="104" t="n">
        <ns0:v>0</ns0:v>
      </ns0:c>
      <ns0:c r="L54" s="100" t="n">
        <ns0:v>0.7171717171717171</ns0:v>
      </ns0:c>
      <ns0:c r="M54" s="44" t="n">
        <ns0:v>0.4642857142857143</ns0:v>
      </ns0:c>
      <ns0:c r="N54" s="29" t="n">
        <ns0:v>0.3813559322033898</ns0:v>
      </ns0:c>
      <ns0:c r="O54" s="44" t="n">
        <ns0:v>0.46551724137931033</ns0:v>
      </ns0:c>
      <ns0:c r="P54" s="29" t="n">
        <ns0:v>0.3963963963963964</ns0:v>
      </ns0:c>
    </ns0:row>
    <ns0:row r="55" ht="22" customHeight="1">
      <ns0:c r="A55" s="26" t="str">
        <ns0:v>比较容易</ns0:v>
      </ns0:c>
      <ns0:c r="B55" s="28" t="n">
        <ns0:v>0.3390804597701149</ns0:v>
      </ns0:c>
      <ns0:c r="C55" s="44" t="n">
        <ns0:v>0.423728813559322</ns0:v>
      </ns0:c>
      <ns0:c r="D55" s="29" t="n">
        <ns0:v>0.32142857142857145</ns0:v>
      </ns0:c>
      <ns0:c r="E55" s="31" t="n">
        <ns0:v>0.25</ns0:v>
      </ns0:c>
      <ns0:c r="F55" s="29" t="n">
        <ns0:v>0.2857142857142857</ns0:v>
      </ns0:c>
      <ns0:c r="G55" s="105" t="n">
        <ns0:v>0.3979591836734694</ns0:v>
      </ns0:c>
      <ns0:c r="H55" s="96" t="n">
        <ns0:v>0.2631578947368421</ns0:v>
      </ns0:c>
      <ns0:c r="I55" s="44" t="n">
        <ns0:v>0.3068181818181818</ns0:v>
      </ns0:c>
      <ns0:c r="J55" s="29" t="n">
        <ns0:v>0.37209302325581395</ns0:v>
      </ns0:c>
      <ns0:c r="K55" s="103" t="n">
        <ns0:v>0.7866666666666666</ns0:v>
      </ns0:c>
      <ns0:c r="L55" s="92" t="n">
        <ns0:v>0</ns0:v>
      </ns0:c>
      <ns0:c r="M55" s="44" t="n">
        <ns0:v>0.30357142857142855</ns0:v>
      </ns0:c>
      <ns0:c r="N55" s="29" t="n">
        <ns0:v>0.3559322033898305</ns0:v>
      </ns0:c>
      <ns0:c r="O55" s="44" t="n">
        <ns0:v>0.3448275862068966</ns0:v>
      </ns0:c>
      <ns0:c r="P55" s="29" t="n">
        <ns0:v>0.35135135135135137</ns0:v>
      </ns0:c>
    </ns0:row>
    <ns0:row r="56" ht="22" customHeight="1">
      <ns0:c r="A56" s="26" t="str">
        <ns0:v>非常容易</ns0:v>
      </ns0:c>
      <ns0:c r="B56" s="28" t="n">
        <ns0:v>0.09195402298850575</ns0:v>
      </ns0:c>
      <ns0:c r="C56" s="189" t="n">
        <ns0:v>0.23728813559322035</ns0:v>
      </ns0:c>
      <ns0:c r="D56" s="29" t="n">
        <ns0:v>0</ns0:v>
      </ns0:c>
      <ns0:c r="E56" s="31" t="n">
        <ns0:v>0.041666666666666664</ns0:v>
      </ns0:c>
      <ns0:c r="F56" s="29" t="n">
        <ns0:v>0.02857142857142857</ns0:v>
      </ns0:c>
      <ns0:c r="G56" s="44" t="n">
        <ns0:v>0.09183673469387756</ns0:v>
      </ns0:c>
      <ns0:c r="H56" s="29" t="n">
        <ns0:v>0.09210526315789473</ns0:v>
      </ns0:c>
      <ns0:c r="I56" s="44" t="n">
        <ns0:v>0.125</ns0:v>
      </ns0:c>
      <ns0:c r="J56" s="29" t="n">
        <ns0:v>0.05813953488372093</ns0:v>
      </ns0:c>
      <ns0:c r="K56" s="103" t="n">
        <ns0:v>0.21333333333333335</ns0:v>
      </ns0:c>
      <ns0:c r="L56" s="92" t="n">
        <ns0:v>0</ns0:v>
      </ns0:c>
      <ns0:c r="M56" s="44" t="n">
        <ns0:v>0.14285714285714285</ns0:v>
      </ns0:c>
      <ns0:c r="N56" s="29" t="n">
        <ns0:v>0.06779661016949153</ns0:v>
      </ns0:c>
      <ns0:c r="O56" s="44" t="n">
        <ns0:v>0.10344827586206896</ns0:v>
      </ns0:c>
      <ns0:c r="P56" s="29" t="n">
        <ns0:v>0.07207207207207207</ns0:v>
      </ns0:c>
    </ns0:row>
    <ns0:row r="57" ht="24" customHeight="1">
      <ns0:c r="A57" s="39" t="str">
        <ns0:v>Total</ns0:v>
      </ns0:c>
      <ns0:c r="B57" s="40" t="n">
        <ns0:f>SUM('体验问卷大表'!B52,'体验问卷大表'!B53,'体验问卷大表'!B54,'体验问卷大表'!B55,'体验问卷大表'!B56)</ns0:f>
        <ns0:v>1</ns0:v>
      </ns0:c>
      <ns0:c r="C57" s="45" t="n">
        <ns0:f>SUM('体验问卷大表'!C52,'体验问卷大表'!C53,'体验问卷大表'!C54,'体验问卷大表'!C55,'体验问卷大表'!C56)</ns0:f>
        <ns0:v>1</ns0:v>
      </ns0:c>
      <ns0:c r="D57" s="40" t="n">
        <ns0:f>SUM('体验问卷大表'!D52,'体验问卷大表'!D53,'体验问卷大表'!D54,'体验问卷大表'!D55,'体验问卷大表'!D56)</ns0:f>
        <ns0:v>1</ns0:v>
      </ns0:c>
      <ns0:c r="E57" s="40" t="n">
        <ns0:f>SUM('体验问卷大表'!E52,'体验问卷大表'!E53,'体验问卷大表'!E54,'体验问卷大表'!E55,'体验问卷大表'!E56)</ns0:f>
        <ns0:v>0.9999999999999999</ns0:v>
      </ns0:c>
      <ns0:c r="F57" s="40" t="n">
        <ns0:f>SUM('体验问卷大表'!F52,'体验问卷大表'!F53,'体验问卷大表'!F54,'体验问卷大表'!F55,'体验问卷大表'!F56)</ns0:f>
        <ns0:v>1</ns0:v>
      </ns0:c>
      <ns0:c r="G57" s="45" t="n">
        <ns0:f>SUM('体验问卷大表'!G52,'体验问卷大表'!G53,'体验问卷大表'!G54,'体验问卷大表'!G55,'体验问卷大表'!G56)</ns0:f>
        <ns0:v>1</ns0:v>
      </ns0:c>
      <ns0:c r="H57" s="40" t="n">
        <ns0:f>SUM('体验问卷大表'!H52,'体验问卷大表'!H53,'体验问卷大表'!H54,'体验问卷大表'!H55,'体验问卷大表'!H56)</ns0:f>
        <ns0:v>1</ns0:v>
      </ns0:c>
      <ns0:c r="I57" s="45" t="n">
        <ns0:f>SUM('体验问卷大表'!I52,'体验问卷大表'!I53,'体验问卷大表'!I54,'体验问卷大表'!I55,'体验问卷大表'!I56)</ns0:f>
        <ns0:v>1</ns0:v>
      </ns0:c>
      <ns0:c r="J57" s="40" t="n">
        <ns0:f>SUM('体验问卷大表'!J52,'体验问卷大表'!J53,'体验问卷大表'!J54,'体验问卷大表'!J55,'体验问卷大表'!J56)</ns0:f>
        <ns0:v>0.9999999999999999</ns0:v>
      </ns0:c>
      <ns0:c r="K57" s="45" t="n">
        <ns0:f>SUM('体验问卷大表'!K52,'体验问卷大表'!K53,'体验问卷大表'!K54,'体验问卷大表'!K55,'体验问卷大表'!K56)</ns0:f>
        <ns0:v>1</ns0:v>
      </ns0:c>
      <ns0:c r="L57" s="40" t="n">
        <ns0:f>SUM('体验问卷大表'!L52,'体验问卷大表'!L53,'体验问卷大表'!L54,'体验问卷大表'!L55,'体验问卷大表'!L56)</ns0:f>
        <ns0:v>1</ns0:v>
      </ns0:c>
      <ns0:c r="M57" s="45" t="n">
        <ns0:f>SUM('体验问卷大表'!M52,'体验问卷大表'!M53,'体验问卷大表'!M54,'体验问卷大表'!M55,'体验问卷大表'!M56)</ns0:f>
        <ns0:v>1</ns0:v>
      </ns0:c>
      <ns0:c r="N57" s="40" t="n">
        <ns0:f>SUM('体验问卷大表'!N52,'体验问卷大表'!N53,'体验问卷大表'!N54,'体验问卷大表'!N55,'体验问卷大表'!N56)</ns0:f>
        <ns0:v>1</ns0:v>
      </ns0:c>
      <ns0:c r="O57" s="45" t="n">
        <ns0:f>SUM('体验问卷大表'!O52,'体验问卷大表'!O53,'体验问卷大表'!O54,'体验问卷大表'!O55,'体验问卷大表'!O56)</ns0:f>
        <ns0:v>1</ns0:v>
      </ns0:c>
      <ns0:c r="P57" s="40" t="n">
        <ns0:f>SUM('体验问卷大表'!P52,'体验问卷大表'!P53,'体验问卷大表'!P54,'体验问卷大表'!P55,'体验问卷大表'!P56)</ns0:f>
        <ns0:v>1</ns0:v>
      </ns0:c>
    </ns0:row>
    <ns0:row r="60" ht="24" customHeight="1">
      <ns0:c r="A60" s="17" t="str">
        <ns0:v>继续游玩意愿</ns0:v>
      </ns0:c>
      <ns0:c r="B60" s="18" t="str">
        <ns0:v>返回目录</ns0:v>
      </ns0:c>
      <ns0:c r="C60" s="17"/>
      <ns0:c r="D60" s="17"/>
      <ns0:c r="E60" s="17"/>
      <ns0:c r="F60" s="17"/>
      <ns0:c r="G60" s="17"/>
      <ns0:c r="H60" s="17"/>
      <ns0:c r="I60" s="17"/>
      <ns0:c r="J60" s="17"/>
      <ns0:c r="K60" s="17"/>
      <ns0:c r="L60" s="17"/>
      <ns0:c r="M60" s="17"/>
      <ns0:c r="N60" s="17"/>
      <ns0:c r="O60" s="17"/>
      <ns0:c r="P60" s="17"/>
    </ns0:row>
    <ns0:row r="61" ht="22" customHeight="1">
      <ns0:c r="A61" s="10" t="str">
        <ns0:v>分组族</ns0:v>
      </ns0:c>
      <ns0:c r="B61" s="11" t="str">
        <ns0:v>总体</ns0:v>
      </ns0:c>
      <ns0:c r="C61" s="41" t="str">
        <ns0:v>玩家经验互斥</ns0:v>
      </ns0:c>
      <ns0:c r="D61" s="12"/>
      <ns0:c r="E61" s="12"/>
      <ns0:c r="F61" s="12"/>
      <ns0:c r="G61" s="46" t="str">
        <ns0:v>参与平台</ns0:v>
      </ns0:c>
      <ns0:c r="H61" s="13"/>
      <ns0:c r="I61" s="48" t="str">
        <ns0:v>满意度分层</ns0:v>
      </ns0:c>
      <ns0:c r="J61" s="14"/>
      <ns0:c r="K61" s="48" t="str">
        <ns0:v>上手表现分层</ns0:v>
      </ns0:c>
      <ns0:c r="L61" s="14"/>
      <ns0:c r="M61" s="48" t="str">
        <ns0:v>继续游玩分层</ns0:v>
      </ns0:c>
      <ns0:c r="N61" s="14"/>
      <ns0:c r="O61" s="48" t="str">
        <ns0:v>推荐意愿分层</ns0:v>
      </ns0:c>
      <ns0:c r="P61" s="14"/>
    </ns0:row>
    <ns0:row r="62" ht="44" customHeight="1">
      <ns0:c r="A62" s="10" t="str">
        <ns0:v>选项 / 指标</ns0:v>
      </ns0:c>
      <ns0:c r="B62" s="11" t="str">
        <ns0:v>Total</ns0:v>
      </ns0:c>
      <ns0:c r="C62" s="41" t="str">
        <ns0:v>横版动作核心 (A)</ns0:v>
      </ns0:c>
      <ns0:c r="D62" s="12" t="str">
        <ns0:v>二游ARPG (B)</ns0:v>
      </ns0:c>
      <ns0:c r="E62" s="12" t="str">
        <ns0:v>银河恶魔城 (C)</ns0:v>
      </ns0:c>
      <ns0:c r="F62" s="12" t="str">
        <ns0:v>泛用户 (D)</ns0:v>
      </ns0:c>
      <ns0:c r="G62" s="46" t="str">
        <ns0:v>移动端 (A)</ns0:v>
      </ns0:c>
      <ns0:c r="H62" s="13" t="str">
        <ns0:v>PC/主机 (B)</ns0:v>
      </ns0:c>
      <ns0:c r="I62" s="48" t="str">
        <ns0:v>高满意（4–5分） (A)</ns0:v>
      </ns0:c>
      <ns0:c r="J62" s="14" t="str">
        <ns0:v>非高满意（1–3分） (B)</ns0:v>
      </ns0:c>
      <ns0:c r="K62" s="48" t="str">
        <ns0:v>容易上手（4–5分） (A)</ns0:v>
      </ns0:c>
      <ns0:c r="L62" s="14" t="str">
        <ns0:v>非容易上手（1–3分） (B)</ns0:v>
      </ns0:c>
      <ns0:c r="M62" s="48" t="str">
        <ns0:v>高意愿（4–5分） (A) ‡</ns0:v>
      </ns0:c>
      <ns0:c r="N62" s="14" t="str">
        <ns0:v>非高意愿（1–3分） (B) ‡</ns0:v>
      </ns0:c>
      <ns0:c r="O62" s="48" t="str">
        <ns0:v>推荐者（9–10分） (A)</ns0:v>
      </ns0:c>
      <ns0:c r="P62" s="14" t="str">
        <ns0:v>非推荐者（0–8分） (B)</ns0:v>
      </ns0:c>
    </ns0:row>
    <ns0:row r="63">
      <ns0:c r="A63" s="20" t="str">
        <ns0:v>基数（n）：有效回答该题</ns0:v>
      </ns0:c>
      <ns0:c r="B63" s="21" t="n">
        <ns0:v>180</ns0:v>
      </ns0:c>
      <ns0:c r="C63" s="42" t="n">
        <ns0:v>61</ns0:v>
      </ns0:c>
      <ns0:c r="D63" s="21" t="n">
        <ns0:v>57</ns0:v>
      </ns0:c>
      <ns0:c r="E63" s="22" t="n">
        <ns0:v>25</ns0:v>
      </ns0:c>
      <ns0:c r="F63" s="21" t="n">
        <ns0:v>37</ns0:v>
      </ns0:c>
      <ns0:c r="G63" s="42" t="n">
        <ns0:v>101</ns0:v>
      </ns0:c>
      <ns0:c r="H63" s="21" t="n">
        <ns0:v>79</ns0:v>
      </ns0:c>
      <ns0:c r="I63" s="42" t="n">
        <ns0:v>91</ns0:v>
      </ns0:c>
      <ns0:c r="J63" s="21" t="n">
        <ns0:v>89</ns0:v>
      </ns0:c>
      <ns0:c r="K63" s="42" t="n">
        <ns0:v>75</ns0:v>
      </ns0:c>
      <ns0:c r="L63" s="21" t="n">
        <ns0:v>99</ns0:v>
      </ns0:c>
      <ns0:c r="M63" s="42" t="n">
        <ns0:v>58</ns0:v>
      </ns0:c>
      <ns0:c r="N63" s="21" t="n">
        <ns0:v>122</ns0:v>
      </ns0:c>
      <ns0:c r="O63" s="42" t="n">
        <ns0:v>61</ns0:v>
      </ns0:c>
      <ns0:c r="P63" s="21" t="n">
        <ns0:v>114</ns0:v>
      </ns0:c>
    </ns0:row>
    <ns0:row r="64" ht="26" customHeight="1">
      <ns0:c r="A64" s="25" t="str">
        <ns0:v>[Q5].正式上线后，你继续游玩的意愿如何？</ns0:v>
      </ns0:c>
      <ns0:c r="B64" s="25"/>
      <ns0:c r="C64" s="43"/>
      <ns0:c r="D64" s="25"/>
      <ns0:c r="E64" s="25"/>
      <ns0:c r="F64" s="25"/>
      <ns0:c r="G64" s="43"/>
      <ns0:c r="H64" s="25"/>
      <ns0:c r="I64" s="43"/>
      <ns0:c r="J64" s="25"/>
      <ns0:c r="K64" s="43"/>
      <ns0:c r="L64" s="25"/>
      <ns0:c r="M64" s="43"/>
      <ns0:c r="N64" s="25"/>
      <ns0:c r="O64" s="43"/>
      <ns0:c r="P64" s="25"/>
    </ns0:row>
    <ns0:row r="65" ht="22" customHeight="1">
      <ns0:c r="A65" s="53" t="str">
        <ns0:v>Mean ↑</ns0:v>
      </ns0:c>
      <ns0:c r="B65" s="56" t="n">
        <ns0:v>3.1055555555555556</ns0:v>
      </ns0:c>
      <ns0:c r="C65" s="187" t="n">
        <ns0:v>3.4918032786885247</ns0:v>
      </ns0:c>
      <ns0:c r="D65" s="121" t="n">
        <ns0:v>3</ns0:v>
      </ns0:c>
      <ns0:c r="E65" s="123" t="n">
        <ns0:v>3.12</ns0:v>
      </ns0:c>
      <ns0:c r="F65" s="125" t="n">
        <ns0:v>2.6216216216216215</ns0:v>
      </ns0:c>
      <ns0:c r="G65" s="69" t="n">
        <ns0:v>3.1683168316831685</ns0:v>
      </ns0:c>
      <ns0:c r="H65" s="57" t="n">
        <ns0:v>3.0253164556962027</ns0:v>
      </ns0:c>
      <ns0:c r="I65" s="175" t="n">
        <ns0:v>3.4615384615384617</ns0:v>
      </ns0:c>
      <ns0:c r="J65" s="125" t="n">
        <ns0:v>2.741573033707865</ns0:v>
      </ns0:c>
      <ns0:c r="K65" s="175" t="n">
        <ns0:v>3.2933333333333334</ns0:v>
      </ns0:c>
      <ns0:c r="L65" s="125" t="n">
        <ns0:v>2.9696969696969697</ns0:v>
      </ns0:c>
      <ns0:c r="M65" s="172" t="n">
        <ns0:v>4.206896551724138</ns0:v>
      </ns0:c>
      <ns0:c r="N65" s="132" t="n">
        <ns0:v>2.581967213114754</ns0:v>
      </ns0:c>
      <ns0:c r="O65" s="175" t="n">
        <ns0:v>3.5245901639344264</ns0:v>
      </ns0:c>
      <ns0:c r="P65" s="125" t="n">
        <ns0:v>2.9035087719298245</ns0:v>
      </ns0:c>
    </ns0:row>
    <ns0:row r="66" ht="22" customHeight="1">
      <ns0:c r="A66" s="53" t="str">
        <ns0:v>【指标】T2B（4–5分） ↑</ns0:v>
      </ns0:c>
      <ns0:c r="B66" s="61" t="n">
        <ns0:v>0.32222222222222224</ns0:v>
      </ns0:c>
      <ns0:c r="C66" s="167" t="n">
        <ns0:v>0.4426229508196721</ns0:v>
      </ns0:c>
      <ns0:c r="D66" s="62" t="n">
        <ns0:v>0.2807017543859649</ns0:v>
      </ns0:c>
      <ns0:c r="E66" s="140" t="n">
        <ns0:v>0.36</ns0:v>
      </ns0:c>
      <ns0:c r="F66" s="62" t="n">
        <ns0:v>0.16216216216216217</ns0:v>
      </ns0:c>
      <ns0:c r="G66" s="68" t="n">
        <ns0:v>0.3564356435643564</ns0:v>
      </ns0:c>
      <ns0:c r="H66" s="62" t="n">
        <ns0:v>0.27848101265822783</ns0:v>
      </ns0:c>
      <ns0:c r="I66" s="171" t="n">
        <ns0:v>0.4725274725274725</ns0:v>
      </ns0:c>
      <ns0:c r="J66" s="142" t="n">
        <ns0:v>0.16853932584269662</ns0:v>
      </ns0:c>
      <ns0:c r="K66" s="68" t="n">
        <ns0:v>0.3333333333333333</ns0:v>
      </ns0:c>
      <ns0:c r="L66" s="62" t="n">
        <ns0:v>0.31313131313131315</ns0:v>
      </ns0:c>
      <ns0:c r="M66" s="173" t="n">
        <ns0:v>1</ns0:v>
      </ns0:c>
      <ns0:c r="N66" s="147" t="n">
        <ns0:v>0</ns0:v>
      </ns0:c>
      <ns0:c r="O66" s="171" t="n">
        <ns0:v>0.5409836065573771</ns0:v>
      </ns0:c>
      <ns0:c r="P66" s="142" t="n">
        <ns0:v>0.21052631578947367</ns0:v>
      </ns0:c>
    </ns0:row>
    <ns0:row r="67" ht="22" customHeight="1">
      <ns0:c r="A67" s="53" t="str">
        <ns0:v>【指标】B2B（1–2分） ↓</ns0:v>
      </ns0:c>
      <ns0:c r="B67" s="61" t="n">
        <ns0:v>0.2388888888888889</ns0:v>
      </ns0:c>
      <ns0:c r="C67" s="176" t="n">
        <ns0:v>0.08196721311475409</ns0:v>
      </ns0:c>
      <ns0:c r="D67" s="155" t="n">
        <ns0:v>0.2807017543859649</ns0:v>
      </ns0:c>
      <ns0:c r="E67" s="182" t="n">
        <ns0:v>0.28</ns0:v>
      </ns0:c>
      <ns0:c r="F67" s="155" t="n">
        <ns0:v>0.40540540540540543</ns0:v>
      </ns0:c>
      <ns0:c r="G67" s="68" t="n">
        <ns0:v>0.21782178217821782</ns0:v>
      </ns0:c>
      <ns0:c r="H67" s="62" t="n">
        <ns0:v>0.26582278481012656</ns0:v>
      </ns0:c>
      <ns0:c r="I67" s="176" t="n">
        <ns0:v>0.14285714285714285</ns0:v>
      </ns0:c>
      <ns0:c r="J67" s="155" t="n">
        <ns0:v>0.33707865168539325</ns0:v>
      </ns0:c>
      <ns0:c r="K67" s="176" t="n">
        <ns0:v>0.10666666666666667</ns0:v>
      </ns0:c>
      <ns0:c r="L67" s="155" t="n">
        <ns0:v>0.3333333333333333</ns0:v>
      </ns0:c>
      <ns0:c r="M67" s="174" t="n">
        <ns0:v>0</ns0:v>
      </ns0:c>
      <ns0:c r="N67" s="153" t="n">
        <ns0:v>0.3524590163934426</ns0:v>
      </ns0:c>
      <ns0:c r="O67" s="176" t="n">
        <ns0:v>0.14754098360655737</ns0:v>
      </ns0:c>
      <ns0:c r="P67" s="155" t="n">
        <ns0:v>0.2719298245614035</ns0:v>
      </ns0:c>
    </ns0:row>
    <ns0:row r="68" ht="22" customHeight="1">
      <ns0:c r="A68" s="26" t="str">
        <ns0:v>一定不会</ns0:v>
      </ns0:c>
      <ns0:c r="B68" s="28" t="n">
        <ns0:v>0.044444444444444446</ns0:v>
      </ns0:c>
      <ns0:c r="C68" s="44" t="n">
        <ns0:v>0</ns0:v>
      </ns0:c>
      <ns0:c r="D68" s="29" t="n">
        <ns0:v>0.03508771929824561</ns0:v>
      </ns0:c>
      <ns0:c r="E68" s="31" t="n">
        <ns0:v>0</ns0:v>
      </ns0:c>
      <ns0:c r="F68" s="159" t="n">
        <ns0:v>0.16216216216216217</ns0:v>
      </ns0:c>
      <ns0:c r="G68" s="44" t="n">
        <ns0:v>0.0594059405940594</ns0:v>
      </ns0:c>
      <ns0:c r="H68" s="29" t="n">
        <ns0:v>0.02531645569620253</ns0:v>
      </ns0:c>
      <ns0:c r="I68" s="106" t="n">
        <ns0:v>0</ns0:v>
      </ns0:c>
      <ns0:c r="J68" s="102" t="n">
        <ns0:v>0.0898876404494382</ns0:v>
      </ns0:c>
      <ns0:c r="K68" s="106" t="n">
        <ns0:v>0.013333333333333334</ns0:v>
      </ns0:c>
      <ns0:c r="L68" s="102" t="n">
        <ns0:v>0.0707070707070707</ns0:v>
      </ns0:c>
      <ns0:c r="M68" s="104" t="n">
        <ns0:v>0</ns0:v>
      </ns0:c>
      <ns0:c r="N68" s="100" t="n">
        <ns0:v>0.06557377049180328</ns0:v>
      </ns0:c>
      <ns0:c r="O68" s="106" t="n">
        <ns0:v>0</ns0:v>
      </ns0:c>
      <ns0:c r="P68" s="102" t="n">
        <ns0:v>0.07017543859649122</ns0:v>
      </ns0:c>
    </ns0:row>
    <ns0:row r="69" ht="22" customHeight="1">
      <ns0:c r="A69" s="26" t="str">
        <ns0:v>可能不会</ns0:v>
      </ns0:c>
      <ns0:c r="B69" s="28" t="n">
        <ns0:v>0.19444444444444445</ns0:v>
      </ns0:c>
      <ns0:c r="C69" s="106" t="n">
        <ns0:v>0.08196721311475409</ns0:v>
      </ns0:c>
      <ns0:c r="D69" s="102" t="n">
        <ns0:v>0.24561403508771928</ns0:v>
      </ns0:c>
      <ns0:c r="E69" s="184" t="n">
        <ns0:v>0.28</ns0:v>
      </ns0:c>
      <ns0:c r="F69" s="102" t="n">
        <ns0:v>0.24324324324324326</ns0:v>
      </ns0:c>
      <ns0:c r="G69" s="44" t="n">
        <ns0:v>0.15841584158415842</ns0:v>
      </ns0:c>
      <ns0:c r="H69" s="29" t="n">
        <ns0:v>0.24050632911392406</ns0:v>
      </ns0:c>
      <ns0:c r="I69" s="106" t="n">
        <ns0:v>0.14285714285714285</ns0:v>
      </ns0:c>
      <ns0:c r="J69" s="102" t="n">
        <ns0:v>0.24719101123595505</ns0:v>
      </ns0:c>
      <ns0:c r="K69" s="106" t="n">
        <ns0:v>0.09333333333333334</ns0:v>
      </ns0:c>
      <ns0:c r="L69" s="102" t="n">
        <ns0:v>0.26262626262626265</ns0:v>
      </ns0:c>
      <ns0:c r="M69" s="104" t="n">
        <ns0:v>0</ns0:v>
      </ns0:c>
      <ns0:c r="N69" s="100" t="n">
        <ns0:v>0.28688524590163933</ns0:v>
      </ns0:c>
      <ns0:c r="O69" s="44" t="n">
        <ns0:v>0.14754098360655737</ns0:v>
      </ns0:c>
      <ns0:c r="P69" s="29" t="n">
        <ns0:v>0.20175438596491227</ns0:v>
      </ns0:c>
    </ns0:row>
    <ns0:row r="70" ht="22" customHeight="1">
      <ns0:c r="A70" s="26" t="str">
        <ns0:v>不确定</ns0:v>
      </ns0:c>
      <ns0:c r="B70" s="28" t="n">
        <ns0:v>0.4388888888888889</ns0:v>
      </ns0:c>
      <ns0:c r="C70" s="44" t="n">
        <ns0:v>0.47540983606557374</ns0:v>
      </ns0:c>
      <ns0:c r="D70" s="29" t="n">
        <ns0:v>0.43859649122807015</ns0:v>
      </ns0:c>
      <ns0:c r="E70" s="31" t="n">
        <ns0:v>0.36</ns0:v>
      </ns0:c>
      <ns0:c r="F70" s="29" t="n">
        <ns0:v>0.43243243243243246</ns0:v>
      </ns0:c>
      <ns0:c r="G70" s="44" t="n">
        <ns0:v>0.42574257425742573</ns0:v>
      </ns0:c>
      <ns0:c r="H70" s="29" t="n">
        <ns0:v>0.45569620253164556</ns0:v>
      </ns0:c>
      <ns0:c r="I70" s="44" t="n">
        <ns0:v>0.38461538461538464</ns0:v>
      </ns0:c>
      <ns0:c r="J70" s="29" t="n">
        <ns0:v>0.4943820224719101</ns0:v>
      </ns0:c>
      <ns0:c r="K70" s="105" t="n">
        <ns0:v>0.56</ns0:v>
      </ns0:c>
      <ns0:c r="L70" s="96" t="n">
        <ns0:v>0.35353535353535354</ns0:v>
      </ns0:c>
      <ns0:c r="M70" s="104" t="n">
        <ns0:v>0</ns0:v>
      </ns0:c>
      <ns0:c r="N70" s="100" t="n">
        <ns0:v>0.6475409836065574</ns0:v>
      </ns0:c>
      <ns0:c r="O70" s="106" t="n">
        <ns0:v>0.3114754098360656</ns0:v>
      </ns0:c>
      <ns0:c r="P70" s="102" t="n">
        <ns0:v>0.5175438596491229</ns0:v>
      </ns0:c>
    </ns0:row>
    <ns0:row r="71" ht="22" customHeight="1">
      <ns0:c r="A71" s="26" t="str">
        <ns0:v>可能会</ns0:v>
      </ns0:c>
      <ns0:c r="B71" s="28" t="n">
        <ns0:v>0.25555555555555554</ns0:v>
      </ns0:c>
      <ns0:c r="C71" s="168" t="n">
        <ns0:v>0.3114754098360656</ns0:v>
      </ns0:c>
      <ns0:c r="D71" s="29" t="n">
        <ns0:v>0.24561403508771928</ns0:v>
      </ns0:c>
      <ns0:c r="E71" s="163" t="n">
        <ns0:v>0.32</ns0:v>
      </ns0:c>
      <ns0:c r="F71" s="29" t="n">
        <ns0:v>0.13513513513513514</ns0:v>
      </ns0:c>
      <ns0:c r="G71" s="44" t="n">
        <ns0:v>0.26732673267326734</ns0:v>
      </ns0:c>
      <ns0:c r="H71" s="29" t="n">
        <ns0:v>0.24050632911392406</ns0:v>
      </ns0:c>
      <ns0:c r="I71" s="105" t="n">
        <ns0:v>0.34065934065934067</ns0:v>
      </ns0:c>
      <ns0:c r="J71" s="96" t="n">
        <ns0:v>0.16853932584269662</ns0:v>
      </ns0:c>
      <ns0:c r="K71" s="44" t="n">
        <ns0:v>0.25333333333333335</ns0:v>
      </ns0:c>
      <ns0:c r="L71" s="29" t="n">
        <ns0:v>0.25252525252525254</ns0:v>
      </ns0:c>
      <ns0:c r="M71" s="103" t="n">
        <ns0:v>0.7931034482758621</ns0:v>
      </ns0:c>
      <ns0:c r="N71" s="92" t="n">
        <ns0:v>0</ns0:v>
      </ns0:c>
      <ns0:c r="O71" s="105" t="n">
        <ns0:v>0.4098360655737705</ns0:v>
      </ns0:c>
      <ns0:c r="P71" s="96" t="n">
        <ns0:v>0.17543859649122806</ns0:v>
      </ns0:c>
    </ns0:row>
    <ns0:row r="72" ht="22" customHeight="1">
      <ns0:c r="A72" s="26" t="str">
        <ns0:v>一定会</ns0:v>
      </ns0:c>
      <ns0:c r="B72" s="28" t="n">
        <ns0:v>0.06666666666666667</ns0:v>
      </ns0:c>
      <ns0:c r="C72" s="169" t="n">
        <ns0:v>0.13114754098360656</ns0:v>
      </ns0:c>
      <ns0:c r="D72" s="29" t="n">
        <ns0:v>0.03508771929824561</ns0:v>
      </ns0:c>
      <ns0:c r="E72" s="31" t="n">
        <ns0:v>0.04</ns0:v>
      </ns0:c>
      <ns0:c r="F72" s="29" t="n">
        <ns0:v>0.02702702702702703</ns0:v>
      </ns0:c>
      <ns0:c r="G72" s="44" t="n">
        <ns0:v>0.0891089108910891</ns0:v>
      </ns0:c>
      <ns0:c r="H72" s="29" t="n">
        <ns0:v>0.0379746835443038</ns0:v>
      </ns0:c>
      <ns0:c r="I72" s="105" t="n">
        <ns0:v>0.13186813186813187</ns0:v>
      </ns0:c>
      <ns0:c r="J72" s="96" t="n">
        <ns0:v>0</ns0:v>
      </ns0:c>
      <ns0:c r="K72" s="44" t="n">
        <ns0:v>0.08</ns0:v>
      </ns0:c>
      <ns0:c r="L72" s="29" t="n">
        <ns0:v>0.06060606060606061</ns0:v>
      </ns0:c>
      <ns0:c r="M72" s="103" t="n">
        <ns0:v>0.20689655172413793</ns0:v>
      </ns0:c>
      <ns0:c r="N72" s="92" t="n">
        <ns0:v>0</ns0:v>
      </ns0:c>
      <ns0:c r="O72" s="105" t="n">
        <ns0:v>0.13114754098360656</ns0:v>
      </ns0:c>
      <ns0:c r="P72" s="96" t="n">
        <ns0:v>0.03508771929824561</ns0:v>
      </ns0:c>
    </ns0:row>
    <ns0:row r="73" ht="24" customHeight="1">
      <ns0:c r="A73" s="39" t="str">
        <ns0:v>Total</ns0:v>
      </ns0:c>
      <ns0:c r="B73" s="40" t="n">
        <ns0:f>SUM('体验问卷大表'!B68,'体验问卷大表'!B69,'体验问卷大表'!B70,'体验问卷大表'!B71,'体验问卷大表'!B72)</ns0:f>
        <ns0:v>1</ns0:v>
      </ns0:c>
      <ns0:c r="C73" s="45" t="n">
        <ns0:f>SUM('体验问卷大表'!C68,'体验问卷大表'!C69,'体验问卷大表'!C70,'体验问卷大表'!C71,'体验问卷大表'!C72)</ns0:f>
        <ns0:v>1</ns0:v>
      </ns0:c>
      <ns0:c r="D73" s="40" t="n">
        <ns0:f>SUM('体验问卷大表'!D68,'体验问卷大表'!D69,'体验问卷大表'!D70,'体验问卷大表'!D71,'体验问卷大表'!D72)</ns0:f>
        <ns0:v>1</ns0:v>
      </ns0:c>
      <ns0:c r="E73" s="40" t="n">
        <ns0:f>SUM('体验问卷大表'!E68,'体验问卷大表'!E69,'体验问卷大表'!E70,'体验问卷大表'!E71,'体验问卷大表'!E72)</ns0:f>
        <ns0:v>1</ns0:v>
      </ns0:c>
      <ns0:c r="F73" s="40" t="n">
        <ns0:f>SUM('体验问卷大表'!F68,'体验问卷大表'!F69,'体验问卷大表'!F70,'体验问卷大表'!F71,'体验问卷大表'!F72)</ns0:f>
        <ns0:v>1</ns0:v>
      </ns0:c>
      <ns0:c r="G73" s="45" t="n">
        <ns0:f>SUM('体验问卷大表'!G68,'体验问卷大表'!G69,'体验问卷大表'!G70,'体验问卷大表'!G71,'体验问卷大表'!G72)</ns0:f>
        <ns0:v>1</ns0:v>
      </ns0:c>
      <ns0:c r="H73" s="40" t="n">
        <ns0:f>SUM('体验问卷大表'!H68,'体验问卷大表'!H69,'体验问卷大表'!H70,'体验问卷大表'!H71,'体验问卷大表'!H72)</ns0:f>
        <ns0:v>1</ns0:v>
      </ns0:c>
      <ns0:c r="I73" s="45" t="n">
        <ns0:f>SUM('体验问卷大表'!I68,'体验问卷大表'!I69,'体验问卷大表'!I70,'体验问卷大表'!I71,'体验问卷大表'!I72)</ns0:f>
        <ns0:v>1</ns0:v>
      </ns0:c>
      <ns0:c r="J73" s="40" t="n">
        <ns0:f>SUM('体验问卷大表'!J68,'体验问卷大表'!J69,'体验问卷大表'!J70,'体验问卷大表'!J71,'体验问卷大表'!J72)</ns0:f>
        <ns0:v>1</ns0:v>
      </ns0:c>
      <ns0:c r="K73" s="45" t="n">
        <ns0:f>SUM('体验问卷大表'!K68,'体验问卷大表'!K69,'体验问卷大表'!K70,'体验问卷大表'!K71,'体验问卷大表'!K72)</ns0:f>
        <ns0:v>1.0000000000000002</ns0:v>
      </ns0:c>
      <ns0:c r="L73" s="40" t="n">
        <ns0:f>SUM('体验问卷大表'!L68,'体验问卷大表'!L69,'体验问卷大表'!L70,'体验问卷大表'!L71,'体验问卷大表'!L72)</ns0:f>
        <ns0:v>1</ns0:v>
      </ns0:c>
      <ns0:c r="M73" s="45" t="n">
        <ns0:f>SUM('体验问卷大表'!M68,'体验问卷大表'!M69,'体验问卷大表'!M70,'体验问卷大表'!M71,'体验问卷大表'!M72)</ns0:f>
        <ns0:v>1</ns0:v>
      </ns0:c>
      <ns0:c r="N73" s="40" t="n">
        <ns0:f>SUM('体验问卷大表'!N68,'体验问卷大表'!N69,'体验问卷大表'!N70,'体验问卷大表'!N71,'体验问卷大表'!N72)</ns0:f>
        <ns0:v>1</ns0:v>
      </ns0:c>
      <ns0:c r="O73" s="45" t="n">
        <ns0:f>SUM('体验问卷大表'!O68,'体验问卷大表'!O69,'体验问卷大表'!O70,'体验问卷大表'!O71,'体验问卷大表'!O72)</ns0:f>
        <ns0:v>1</ns0:v>
      </ns0:c>
      <ns0:c r="P73" s="40" t="n">
        <ns0:f>SUM('体验问卷大表'!P68,'体验问卷大表'!P69,'体验问卷大表'!P70,'体验问卷大表'!P71,'体验问卷大表'!P72)</ns0:f>
        <ns0:v>1</ns0:v>
      </ns0:c>
    </ns0:row>
    <ns0:row r="76" ht="24" customHeight="1">
      <ns0:c r="A76" s="17" t="str">
        <ns0:v>体验亮点</ns0:v>
      </ns0:c>
      <ns0:c r="B76" s="18" t="str">
        <ns0:v>返回目录</ns0:v>
      </ns0:c>
      <ns0:c r="C76" s="17"/>
      <ns0:c r="D76" s="17"/>
      <ns0:c r="E76" s="17"/>
      <ns0:c r="F76" s="17"/>
      <ns0:c r="G76" s="17"/>
      <ns0:c r="H76" s="17"/>
      <ns0:c r="I76" s="17"/>
      <ns0:c r="J76" s="17"/>
      <ns0:c r="K76" s="17"/>
      <ns0:c r="L76" s="17"/>
      <ns0:c r="M76" s="17"/>
      <ns0:c r="N76" s="17"/>
      <ns0:c r="O76" s="17"/>
      <ns0:c r="P76" s="17"/>
    </ns0:row>
    <ns0:row r="77" ht="22" customHeight="1">
      <ns0:c r="A77" s="10" t="str">
        <ns0:v>分组族</ns0:v>
      </ns0:c>
      <ns0:c r="B77" s="11" t="str">
        <ns0:v>总体</ns0:v>
      </ns0:c>
      <ns0:c r="C77" s="41" t="str">
        <ns0:v>玩家经验互斥</ns0:v>
      </ns0:c>
      <ns0:c r="D77" s="12"/>
      <ns0:c r="E77" s="12"/>
      <ns0:c r="F77" s="12"/>
      <ns0:c r="G77" s="46" t="str">
        <ns0:v>参与平台</ns0:v>
      </ns0:c>
      <ns0:c r="H77" s="13"/>
      <ns0:c r="I77" s="48" t="str">
        <ns0:v>满意度分层</ns0:v>
      </ns0:c>
      <ns0:c r="J77" s="14"/>
      <ns0:c r="K77" s="48" t="str">
        <ns0:v>上手表现分层</ns0:v>
      </ns0:c>
      <ns0:c r="L77" s="14"/>
      <ns0:c r="M77" s="48" t="str">
        <ns0:v>继续游玩分层</ns0:v>
      </ns0:c>
      <ns0:c r="N77" s="14"/>
      <ns0:c r="O77" s="48" t="str">
        <ns0:v>推荐意愿分层</ns0:v>
      </ns0:c>
      <ns0:c r="P77" s="14"/>
    </ns0:row>
    <ns0:row r="78" ht="44" customHeight="1">
      <ns0:c r="A78" s="10" t="str">
        <ns0:v>选项 / 指标</ns0:v>
      </ns0:c>
      <ns0:c r="B78" s="11" t="str">
        <ns0:v>Total</ns0:v>
      </ns0:c>
      <ns0:c r="C78" s="41" t="str">
        <ns0:v>横版动作核心 (A)</ns0:v>
      </ns0:c>
      <ns0:c r="D78" s="12" t="str">
        <ns0:v>二游ARPG (B)</ns0:v>
      </ns0:c>
      <ns0:c r="E78" s="12" t="str">
        <ns0:v>银河恶魔城 (C)</ns0:v>
      </ns0:c>
      <ns0:c r="F78" s="12" t="str">
        <ns0:v>泛用户 (D)</ns0:v>
      </ns0:c>
      <ns0:c r="G78" s="46" t="str">
        <ns0:v>移动端 (A)</ns0:v>
      </ns0:c>
      <ns0:c r="H78" s="13" t="str">
        <ns0:v>PC/主机 (B)</ns0:v>
      </ns0:c>
      <ns0:c r="I78" s="48" t="str">
        <ns0:v>高满意（4–5分） (A)</ns0:v>
      </ns0:c>
      <ns0:c r="J78" s="14" t="str">
        <ns0:v>非高满意（1–3分） (B)</ns0:v>
      </ns0:c>
      <ns0:c r="K78" s="48" t="str">
        <ns0:v>容易上手（4–5分） (A)</ns0:v>
      </ns0:c>
      <ns0:c r="L78" s="14" t="str">
        <ns0:v>非容易上手（1–3分） (B)</ns0:v>
      </ns0:c>
      <ns0:c r="M78" s="48" t="str">
        <ns0:v>高意愿（4–5分） (A)</ns0:v>
      </ns0:c>
      <ns0:c r="N78" s="14" t="str">
        <ns0:v>非高意愿（1–3分） (B)</ns0:v>
      </ns0:c>
      <ns0:c r="O78" s="48" t="str">
        <ns0:v>推荐者（9–10分） (A)</ns0:v>
      </ns0:c>
      <ns0:c r="P78" s="14" t="str">
        <ns0:v>非推荐者（0–8分） (B)</ns0:v>
      </ns0:c>
    </ns0:row>
    <ns0:row r="79">
      <ns0:c r="A79" s="20" t="str">
        <ns0:v>基数（n）：有效回答该题</ns0:v>
      </ns0:c>
      <ns0:c r="B79" s="21" t="n">
        <ns0:v>180</ns0:v>
      </ns0:c>
      <ns0:c r="C79" s="42" t="n">
        <ns0:v>61</ns0:v>
      </ns0:c>
      <ns0:c r="D79" s="21" t="n">
        <ns0:v>57</ns0:v>
      </ns0:c>
      <ns0:c r="E79" s="22" t="n">
        <ns0:v>25</ns0:v>
      </ns0:c>
      <ns0:c r="F79" s="21" t="n">
        <ns0:v>37</ns0:v>
      </ns0:c>
      <ns0:c r="G79" s="42" t="n">
        <ns0:v>101</ns0:v>
      </ns0:c>
      <ns0:c r="H79" s="21" t="n">
        <ns0:v>79</ns0:v>
      </ns0:c>
      <ns0:c r="I79" s="42" t="n">
        <ns0:v>91</ns0:v>
      </ns0:c>
      <ns0:c r="J79" s="21" t="n">
        <ns0:v>89</ns0:v>
      </ns0:c>
      <ns0:c r="K79" s="42" t="n">
        <ns0:v>75</ns0:v>
      </ns0:c>
      <ns0:c r="L79" s="21" t="n">
        <ns0:v>99</ns0:v>
      </ns0:c>
      <ns0:c r="M79" s="42" t="n">
        <ns0:v>58</ns0:v>
      </ns0:c>
      <ns0:c r="N79" s="21" t="n">
        <ns0:v>122</ns0:v>
      </ns0:c>
      <ns0:c r="O79" s="42" t="n">
        <ns0:v>61</ns0:v>
      </ns0:c>
      <ns0:c r="P79" s="21" t="n">
        <ns0:v>114</ns0:v>
      </ns0:c>
    </ns0:row>
    <ns0:row r="80" ht="26" customHeight="1">
      <ns0:c r="A80" s="25" t="str">
        <ns0:v>[Q6].本次体验中，你认为做得较好的部分有哪些？</ns0:v>
      </ns0:c>
      <ns0:c r="B80" s="25"/>
      <ns0:c r="C80" s="43"/>
      <ns0:c r="D80" s="25"/>
      <ns0:c r="E80" s="25"/>
      <ns0:c r="F80" s="25"/>
      <ns0:c r="G80" s="43"/>
      <ns0:c r="H80" s="25"/>
      <ns0:c r="I80" s="43"/>
      <ns0:c r="J80" s="25"/>
      <ns0:c r="K80" s="43"/>
      <ns0:c r="L80" s="25"/>
      <ns0:c r="M80" s="43"/>
      <ns0:c r="N80" s="25"/>
      <ns0:c r="O80" s="43"/>
      <ns0:c r="P80" s="25"/>
    </ns0:row>
    <ns0:row r="81" ht="22" customHeight="1">
      <ns0:c r="A81" s="26" t="str">
        <ns0:v>战斗手感</ns0:v>
      </ns0:c>
      <ns0:c r="B81" s="28" t="n">
        <ns0:v>0.45</ns0:v>
      </ns0:c>
      <ns0:c r="C81" s="189" t="n">
        <ns0:v>0.7704918032786885</ns0:v>
      </ns0:c>
      <ns0:c r="D81" s="29" t="n">
        <ns0:v>0.2807017543859649</ns0:v>
      </ns0:c>
      <ns0:c r="E81" s="31" t="n">
        <ns0:v>0.4</ns0:v>
      </ns0:c>
      <ns0:c r="F81" s="29" t="n">
        <ns0:v>0.21621621621621623</ns0:v>
      </ns0:c>
      <ns0:c r="G81" s="44" t="n">
        <ns0:v>0.43564356435643564</ns0:v>
      </ns0:c>
      <ns0:c r="H81" s="29" t="n">
        <ns0:v>0.46835443037974683</ns0:v>
      </ns0:c>
      <ns0:c r="I81" s="105" t="n">
        <ns0:v>0.5604395604395604</ns0:v>
      </ns0:c>
      <ns0:c r="J81" s="96" t="n">
        <ns0:v>0.33707865168539325</ns0:v>
      </ns0:c>
      <ns0:c r="K81" s="44" t="n">
        <ns0:v>0.5066666666666667</ns0:v>
      </ns0:c>
      <ns0:c r="L81" s="29" t="n">
        <ns0:v>0.41414141414141414</ns0:v>
      </ns0:c>
      <ns0:c r="M81" s="44" t="n">
        <ns0:v>0.4827586206896552</ns0:v>
      </ns0:c>
      <ns0:c r="N81" s="29" t="n">
        <ns0:v>0.4344262295081967</ns0:v>
      </ns0:c>
      <ns0:c r="O81" s="44" t="n">
        <ns0:v>0.5245901639344263</ns0:v>
      </ns0:c>
      <ns0:c r="P81" s="29" t="n">
        <ns0:v>0.41228070175438597</ns0:v>
      </ns0:c>
    </ns0:row>
    <ns0:row r="82" ht="22" customHeight="1">
      <ns0:c r="A82" s="26" t="str">
        <ns0:v>美术表现</ns0:v>
      </ns0:c>
      <ns0:c r="B82" s="28" t="n">
        <ns0:v>0.5388888888888889</ns0:v>
      </ns0:c>
      <ns0:c r="C82" s="44" t="n">
        <ns0:v>0.4426229508196721</ns0:v>
      </ns0:c>
      <ns0:c r="D82" s="29" t="n">
        <ns0:v>0.5263157894736842</ns0:v>
      </ns0:c>
      <ns0:c r="E82" s="31" t="n">
        <ns0:v>0.56</ns0:v>
      </ns0:c>
      <ns0:c r="F82" s="157" t="n">
        <ns0:v>0.7027027027027027</ns0:v>
      </ns0:c>
      <ns0:c r="G82" s="44" t="n">
        <ns0:v>0.5544554455445545</ns0:v>
      </ns0:c>
      <ns0:c r="H82" s="29" t="n">
        <ns0:v>0.5189873417721519</ns0:v>
      </ns0:c>
      <ns0:c r="I82" s="44" t="n">
        <ns0:v>0.5274725274725275</ns0:v>
      </ns0:c>
      <ns0:c r="J82" s="29" t="n">
        <ns0:v>0.550561797752809</ns0:v>
      </ns0:c>
      <ns0:c r="K82" s="44" t="n">
        <ns0:v>0.5733333333333334</ns0:v>
      </ns0:c>
      <ns0:c r="L82" s="29" t="n">
        <ns0:v>0.5353535353535354</ns0:v>
      </ns0:c>
      <ns0:c r="M82" s="44" t="n">
        <ns0:v>0.46551724137931033</ns0:v>
      </ns0:c>
      <ns0:c r="N82" s="29" t="n">
        <ns0:v>0.5737704918032787</ns0:v>
      </ns0:c>
      <ns0:c r="O82" s="44" t="n">
        <ns0:v>0.47540983606557374</ns0:v>
      </ns0:c>
      <ns0:c r="P82" s="29" t="n">
        <ns0:v>0.5789473684210527</ns0:v>
      </ns0:c>
    </ns0:row>
    <ns0:row r="83" ht="22" customHeight="1">
      <ns0:c r="A83" s="26" t="str">
        <ns0:v>角色设计</ns0:v>
      </ns0:c>
      <ns0:c r="B83" s="28" t="n">
        <ns0:v>0.4388888888888889</ns0:v>
      </ns0:c>
      <ns0:c r="C83" s="44" t="n">
        <ns0:v>0.39344262295081966</ns0:v>
      </ns0:c>
      <ns0:c r="D83" s="29" t="n">
        <ns0:v>0.5263157894736842</ns0:v>
      </ns0:c>
      <ns0:c r="E83" s="31" t="n">
        <ns0:v>0.4</ns0:v>
      </ns0:c>
      <ns0:c r="F83" s="29" t="n">
        <ns0:v>0.40540540540540543</ns0:v>
      </ns0:c>
      <ns0:c r="G83" s="105" t="n">
        <ns0:v>0.504950495049505</ns0:v>
      </ns0:c>
      <ns0:c r="H83" s="96" t="n">
        <ns0:v>0.35443037974683544</ns0:v>
      </ns0:c>
      <ns0:c r="I83" s="44" t="n">
        <ns0:v>0.45054945054945056</ns0:v>
      </ns0:c>
      <ns0:c r="J83" s="29" t="n">
        <ns0:v>0.42696629213483145</ns0:v>
      </ns0:c>
      <ns0:c r="K83" s="44" t="n">
        <ns0:v>0.4666666666666667</ns0:v>
      </ns0:c>
      <ns0:c r="L83" s="29" t="n">
        <ns0:v>0.43434343434343436</ns0:v>
      </ns0:c>
      <ns0:c r="M83" s="44" t="n">
        <ns0:v>0.43103448275862066</ns0:v>
      </ns0:c>
      <ns0:c r="N83" s="29" t="n">
        <ns0:v>0.4426229508196721</ns0:v>
      </ns0:c>
      <ns0:c r="O83" s="44" t="n">
        <ns0:v>0.39344262295081966</ns0:v>
      </ns0:c>
      <ns0:c r="P83" s="29" t="n">
        <ns0:v>0.4649122807017544</ns0:v>
      </ns0:c>
    </ns0:row>
    <ns0:row r="84" ht="22" customHeight="1">
      <ns0:c r="A84" s="26" t="str">
        <ns0:v>世界探索</ns0:v>
      </ns0:c>
      <ns0:c r="B84" s="28" t="n">
        <ns0:v>0.2611111111111111</ns0:v>
      </ns0:c>
      <ns0:c r="C84" s="44" t="n">
        <ns0:v>0.26229508196721313</ns0:v>
      </ns0:c>
      <ns0:c r="D84" s="29" t="n">
        <ns0:v>0.2807017543859649</ns0:v>
      </ns0:c>
      <ns0:c r="E84" s="31" t="n">
        <ns0:v>0.28</ns0:v>
      </ns0:c>
      <ns0:c r="F84" s="29" t="n">
        <ns0:v>0.21621621621621623</ns0:v>
      </ns0:c>
      <ns0:c r="G84" s="44" t="n">
        <ns0:v>0.2871287128712871</ns0:v>
      </ns0:c>
      <ns0:c r="H84" s="29" t="n">
        <ns0:v>0.22784810126582278</ns0:v>
      </ns0:c>
      <ns0:c r="I84" s="44" t="n">
        <ns0:v>0.2857142857142857</ns0:v>
      </ns0:c>
      <ns0:c r="J84" s="29" t="n">
        <ns0:v>0.23595505617977527</ns0:v>
      </ns0:c>
      <ns0:c r="K84" s="44" t="n">
        <ns0:v>0.29333333333333333</ns0:v>
      </ns0:c>
      <ns0:c r="L84" s="29" t="n">
        <ns0:v>0.23232323232323232</ns0:v>
      </ns0:c>
      <ns0:c r="M84" s="44" t="n">
        <ns0:v>0.3103448275862069</ns0:v>
      </ns0:c>
      <ns0:c r="N84" s="29" t="n">
        <ns0:v>0.23770491803278687</ns0:v>
      </ns0:c>
      <ns0:c r="O84" s="44" t="n">
        <ns0:v>0.32786885245901637</ns0:v>
      </ns0:c>
      <ns0:c r="P84" s="29" t="n">
        <ns0:v>0.21929824561403508</ns0:v>
      </ns0:c>
    </ns0:row>
    <ns0:row r="85" ht="22" customHeight="1">
      <ns0:c r="A85" s="26" t="str">
        <ns0:v>剧情设定</ns0:v>
      </ns0:c>
      <ns0:c r="B85" s="28" t="n">
        <ns0:v>0.2833333333333333</ns0:v>
      </ns0:c>
      <ns0:c r="C85" s="168" t="n">
        <ns0:v>0.3770491803278688</ns0:v>
      </ns0:c>
      <ns0:c r="D85" s="29" t="n">
        <ns0:v>0.2631578947368421</ns0:v>
      </ns0:c>
      <ns0:c r="E85" s="31" t="n">
        <ns0:v>0.2</ns0:v>
      </ns0:c>
      <ns0:c r="F85" s="29" t="n">
        <ns0:v>0.21621621621621623</ns0:v>
      </ns0:c>
      <ns0:c r="G85" s="44" t="n">
        <ns0:v>0.2376237623762376</ns0:v>
      </ns0:c>
      <ns0:c r="H85" s="29" t="n">
        <ns0:v>0.34177215189873417</ns0:v>
      </ns0:c>
      <ns0:c r="I85" s="105" t="n">
        <ns0:v>0.34065934065934067</ns0:v>
      </ns0:c>
      <ns0:c r="J85" s="96" t="n">
        <ns0:v>0.2247191011235955</ns0:v>
      </ns0:c>
      <ns0:c r="K85" s="44" t="n">
        <ns0:v>0.29333333333333333</ns0:v>
      </ns0:c>
      <ns0:c r="L85" s="29" t="n">
        <ns0:v>0.2727272727272727</ns0:v>
      </ns0:c>
      <ns0:c r="M85" s="44" t="n">
        <ns0:v>0.29310344827586204</ns0:v>
      </ns0:c>
      <ns0:c r="N85" s="29" t="n">
        <ns0:v>0.2786885245901639</ns0:v>
      </ns0:c>
      <ns0:c r="O85" s="44" t="n">
        <ns0:v>0.36065573770491804</ns0:v>
      </ns0:c>
      <ns0:c r="P85" s="29" t="n">
        <ns0:v>0.24561403508771928</ns0:v>
      </ns0:c>
    </ns0:row>
    <ns0:row r="86" ht="22" customHeight="1">
      <ns0:c r="A86" s="26" t="str">
        <ns0:v>社交体验</ns0:v>
      </ns0:c>
      <ns0:c r="B86" s="28" t="n">
        <ns0:v>0.16666666666666666</ns0:v>
      </ns0:c>
      <ns0:c r="C86" s="44" t="n">
        <ns0:v>0.14754098360655737</ns0:v>
      </ns0:c>
      <ns0:c r="D86" s="29" t="n">
        <ns0:v>0.15789473684210525</ns0:v>
      </ns0:c>
      <ns0:c r="E86" s="31" t="n">
        <ns0:v>0.12</ns0:v>
      </ns0:c>
      <ns0:c r="F86" s="29" t="n">
        <ns0:v>0.24324324324324326</ns0:v>
      </ns0:c>
      <ns0:c r="G86" s="44" t="n">
        <ns0:v>0.18811881188118812</ns0:v>
      </ns0:c>
      <ns0:c r="H86" s="29" t="n">
        <ns0:v>0.13924050632911392</ns0:v>
      </ns0:c>
      <ns0:c r="I86" s="106" t="n">
        <ns0:v>0.10989010989010989</ns0:v>
      </ns0:c>
      <ns0:c r="J86" s="102" t="n">
        <ns0:v>0.2247191011235955</ns0:v>
      </ns0:c>
      <ns0:c r="K86" s="44" t="n">
        <ns0:v>0.12</ns0:v>
      </ns0:c>
      <ns0:c r="L86" s="29" t="n">
        <ns0:v>0.20202020202020202</ns0:v>
      </ns0:c>
      <ns0:c r="M86" s="106" t="n">
        <ns0:v>0.034482758620689655</ns0:v>
      </ns0:c>
      <ns0:c r="N86" s="102" t="n">
        <ns0:v>0.22950819672131148</ns0:v>
      </ns0:c>
      <ns0:c r="O86" s="106" t="n">
        <ns0:v>0.08196721311475409</ns0:v>
      </ns0:c>
      <ns0:c r="P86" s="102" t="n">
        <ns0:v>0.20175438596491227</ns0:v>
      </ns0:c>
    </ns0:row>
    <ns0:row r="87" ht="22" customHeight="1">
      <ns0:c r="A87" s="26" t="str">
        <ns0:v>其他</ns0:v>
      </ns0:c>
      <ns0:c r="B87" s="28" t="n">
        <ns0:v>0.05555555555555555</ns0:v>
      </ns0:c>
      <ns0:c r="C87" s="44" t="n">
        <ns0:v>0.04918032786885246</ns0:v>
      </ns0:c>
      <ns0:c r="D87" s="29" t="n">
        <ns0:v>0.08771929824561403</ns0:v>
      </ns0:c>
      <ns0:c r="E87" s="31" t="n">
        <ns0:v>0</ns0:v>
      </ns0:c>
      <ns0:c r="F87" s="29" t="n">
        <ns0:v>0.05405405405405406</ns0:v>
      </ns0:c>
      <ns0:c r="G87" s="44" t="n">
        <ns0:v>0.07920792079207921</ns0:v>
      </ns0:c>
      <ns0:c r="H87" s="29" t="n">
        <ns0:v>0.02531645569620253</ns0:v>
      </ns0:c>
      <ns0:c r="I87" s="44" t="n">
        <ns0:v>0.04395604395604396</ns0:v>
      </ns0:c>
      <ns0:c r="J87" s="29" t="n">
        <ns0:v>0.06741573033707865</ns0:v>
      </ns0:c>
      <ns0:c r="K87" s="105" t="n">
        <ns0:v>0.09333333333333334</ns0:v>
      </ns0:c>
      <ns0:c r="L87" s="96" t="n">
        <ns0:v>0.030303030303030304</ns0:v>
      </ns0:c>
      <ns0:c r="M87" s="44" t="n">
        <ns0:v>0.05172413793103448</ns0:v>
      </ns0:c>
      <ns0:c r="N87" s="29" t="n">
        <ns0:v>0.05737704918032787</ns0:v>
      </ns0:c>
      <ns0:c r="O87" s="44" t="n">
        <ns0:v>0.03278688524590164</ns0:v>
      </ns0:c>
      <ns0:c r="P87" s="29" t="n">
        <ns0:v>0.07017543859649122</ns0:v>
      </ns0:c>
    </ns0:row>
    <ns0:row r="88" ht="24" customHeight="1">
      <ns0:c r="A88" s="39" t="str">
        <ns0:v>选择率合计（可超过100%）</ns0:v>
      </ns0:c>
      <ns0:c r="B88" s="40" t="n">
        <ns0:f>SUM('体验问卷大表'!B81,'体验问卷大表'!B82,'体验问卷大表'!B83,'体验问卷大表'!B84,'体验问卷大表'!B85,'体验问卷大表'!B86,'体验问卷大表'!B87)</ns0:f>
        <ns0:v>2.194444444444444</ns0:v>
      </ns0:c>
      <ns0:c r="C88" s="45" t="n">
        <ns0:f>SUM('体验问卷大表'!C81,'体验问卷大表'!C82,'体验问卷大表'!C83,'体验问卷大表'!C84,'体验问卷大表'!C85,'体验问卷大表'!C86,'体验问卷大表'!C87)</ns0:f>
        <ns0:v>2.442622950819672</ns0:v>
      </ns0:c>
      <ns0:c r="D88" s="40" t="n">
        <ns0:f>SUM('体验问卷大表'!D81,'体验问卷大表'!D82,'体验问卷大表'!D83,'体验问卷大表'!D84,'体验问卷大表'!D85,'体验问卷大表'!D86,'体验问卷大表'!D87)</ns0:f>
        <ns0:v>2.122807017543859</ns0:v>
      </ns0:c>
      <ns0:c r="E88" s="40" t="n">
        <ns0:f>SUM('体验问卷大表'!E81,'体验问卷大表'!E82,'体验问卷大表'!E83,'体验问卷大表'!E84,'体验问卷大表'!E85,'体验问卷大表'!E86,'体验问卷大表'!E87)</ns0:f>
        <ns0:v>1.96</ns0:v>
      </ns0:c>
      <ns0:c r="F88" s="40" t="n">
        <ns0:f>SUM('体验问卷大表'!F81,'体验问卷大表'!F82,'体验问卷大表'!F83,'体验问卷大表'!F84,'体验问卷大表'!F85,'体验问卷大表'!F86,'体验问卷大表'!F87)</ns0:f>
        <ns0:v>2.054054054054054</ns0:v>
      </ns0:c>
      <ns0:c r="G88" s="45" t="n">
        <ns0:f>SUM('体验问卷大表'!G81,'体验问卷大表'!G82,'体验问卷大表'!G83,'体验问卷大表'!G84,'体验问卷大表'!G85,'体验问卷大表'!G86,'体验问卷大表'!G87)</ns0:f>
        <ns0:v>2.2871287128712874</ns0:v>
      </ns0:c>
      <ns0:c r="H88" s="40" t="n">
        <ns0:f>SUM('体验问卷大表'!H81,'体验问卷大表'!H82,'体验问卷大表'!H83,'体验问卷大表'!H84,'体验问卷大表'!H85,'体验问卷大表'!H86,'体验问卷大表'!H87)</ns0:f>
        <ns0:v>2.0759493670886076</ns0:v>
      </ns0:c>
      <ns0:c r="I88" s="45" t="n">
        <ns0:f>SUM('体验问卷大表'!I81,'体验问卷大表'!I82,'体验问卷大表'!I83,'体验问卷大表'!I84,'体验问卷大表'!I85,'体验问卷大表'!I86,'体验问卷大表'!I87)</ns0:f>
        <ns0:v>2.318681318681319</ns0:v>
      </ns0:c>
      <ns0:c r="J88" s="40" t="n">
        <ns0:f>SUM('体验问卷大表'!J81,'体验问卷大表'!J82,'体验问卷大表'!J83,'体验问卷大表'!J84,'体验问卷大表'!J85,'体验问卷大表'!J86,'体验问卷大表'!J87)</ns0:f>
        <ns0:v>2.067415730337079</ns0:v>
      </ns0:c>
      <ns0:c r="K88" s="45" t="n">
        <ns0:f>SUM('体验问卷大表'!K81,'体验问卷大表'!K82,'体验问卷大表'!K83,'体验问卷大表'!K84,'体验问卷大表'!K85,'体验问卷大表'!K86,'体验问卷大表'!K87)</ns0:f>
        <ns0:v>2.346666666666667</ns0:v>
      </ns0:c>
      <ns0:c r="L88" s="40" t="n">
        <ns0:f>SUM('体验问卷大表'!L81,'体验问卷大表'!L82,'体验问卷大表'!L83,'体验问卷大表'!L84,'体验问卷大表'!L85,'体验问卷大表'!L86,'体验问卷大表'!L87)</ns0:f>
        <ns0:v>2.121212121212121</ns0:v>
      </ns0:c>
      <ns0:c r="M88" s="45" t="n">
        <ns0:f>SUM('体验问卷大表'!M81,'体验问卷大表'!M82,'体验问卷大表'!M83,'体验问卷大表'!M84,'体验问卷大表'!M85,'体验问卷大表'!M86,'体验问卷大表'!M87)</ns0:f>
        <ns0:v>2.0689655172413794</ns0:v>
      </ns0:c>
      <ns0:c r="N88" s="40" t="n">
        <ns0:f>SUM('体验问卷大表'!N81,'体验问卷大表'!N82,'体验问卷大表'!N83,'体验问卷大表'!N84,'体验问卷大表'!N85,'体验问卷大表'!N86,'体验问卷大表'!N87)</ns0:f>
        <ns0:v>2.2540983606557377</ns0:v>
      </ns0:c>
      <ns0:c r="O88" s="45" t="n">
        <ns0:f>SUM('体验问卷大表'!O81,'体验问卷大表'!O82,'体验问卷大表'!O83,'体验问卷大表'!O84,'体验问卷大表'!O85,'体验问卷大表'!O86,'体验问卷大表'!O87)</ns0:f>
        <ns0:v>2.1967213114754096</ns0:v>
      </ns0:c>
      <ns0:c r="P88" s="40" t="n">
        <ns0:f>SUM('体验问卷大表'!P81,'体验问卷大表'!P82,'体验问卷大表'!P83,'体验问卷大表'!P84,'体验问卷大表'!P85,'体验问卷大表'!P86,'体验问卷大表'!P87)</ns0:f>
        <ns0:v>2.192982456140351</ns0:v>
      </ns0:c>
    </ns0:row>
    <ns0:row r="91" ht="24" customHeight="1">
      <ns0:c r="A91" s="17" t="str">
        <ns0:v>模块体验</ns0:v>
      </ns0:c>
      <ns0:c r="B91" s="18" t="str">
        <ns0:v>返回目录</ns0:v>
      </ns0:c>
      <ns0:c r="C91" s="17"/>
      <ns0:c r="D91" s="17"/>
      <ns0:c r="E91" s="17"/>
      <ns0:c r="F91" s="17"/>
      <ns0:c r="G91" s="17"/>
      <ns0:c r="H91" s="17"/>
      <ns0:c r="I91" s="17"/>
      <ns0:c r="J91" s="17"/>
      <ns0:c r="K91" s="17"/>
      <ns0:c r="L91" s="17"/>
      <ns0:c r="M91" s="17"/>
      <ns0:c r="N91" s="17"/>
      <ns0:c r="O91" s="17"/>
      <ns0:c r="P91" s="17"/>
    </ns0:row>
    <ns0:row r="92" ht="22" customHeight="1">
      <ns0:c r="A92" s="10" t="str">
        <ns0:v>分组族</ns0:v>
      </ns0:c>
      <ns0:c r="B92" s="11" t="str">
        <ns0:v>总体</ns0:v>
      </ns0:c>
      <ns0:c r="C92" s="41" t="str">
        <ns0:v>玩家经验互斥</ns0:v>
      </ns0:c>
      <ns0:c r="D92" s="12"/>
      <ns0:c r="E92" s="12"/>
      <ns0:c r="F92" s="12"/>
      <ns0:c r="G92" s="46" t="str">
        <ns0:v>参与平台</ns0:v>
      </ns0:c>
      <ns0:c r="H92" s="13"/>
      <ns0:c r="I92" s="48" t="str">
        <ns0:v>满意度分层</ns0:v>
      </ns0:c>
      <ns0:c r="J92" s="14"/>
      <ns0:c r="K92" s="48" t="str">
        <ns0:v>上手表现分层</ns0:v>
      </ns0:c>
      <ns0:c r="L92" s="14"/>
      <ns0:c r="M92" s="48" t="str">
        <ns0:v>继续游玩分层</ns0:v>
      </ns0:c>
      <ns0:c r="N92" s="14"/>
      <ns0:c r="O92" s="48" t="str">
        <ns0:v>推荐意愿分层</ns0:v>
      </ns0:c>
      <ns0:c r="P92" s="14"/>
    </ns0:row>
    <ns0:row r="93" ht="44" customHeight="1">
      <ns0:c r="A93" s="10" t="str">
        <ns0:v>选项 / 指标</ns0:v>
      </ns0:c>
      <ns0:c r="B93" s="11" t="str">
        <ns0:v>Total</ns0:v>
      </ns0:c>
      <ns0:c r="C93" s="41" t="str">
        <ns0:v>横版动作核心 (A)</ns0:v>
      </ns0:c>
      <ns0:c r="D93" s="12" t="str">
        <ns0:v>二游ARPG (B)</ns0:v>
      </ns0:c>
      <ns0:c r="E93" s="12" t="str">
        <ns0:v>银河恶魔城 (C)</ns0:v>
      </ns0:c>
      <ns0:c r="F93" s="12" t="str">
        <ns0:v>泛用户 (D)</ns0:v>
      </ns0:c>
      <ns0:c r="G93" s="46" t="str">
        <ns0:v>移动端 (A)</ns0:v>
      </ns0:c>
      <ns0:c r="H93" s="13" t="str">
        <ns0:v>PC/主机 (B)</ns0:v>
      </ns0:c>
      <ns0:c r="I93" s="48" t="str">
        <ns0:v>高满意（4–5分） (A)</ns0:v>
      </ns0:c>
      <ns0:c r="J93" s="14" t="str">
        <ns0:v>非高满意（1–3分） (B)</ns0:v>
      </ns0:c>
      <ns0:c r="K93" s="48" t="str">
        <ns0:v>容易上手（4–5分） (A)</ns0:v>
      </ns0:c>
      <ns0:c r="L93" s="14" t="str">
        <ns0:v>非容易上手（1–3分） (B)</ns0:v>
      </ns0:c>
      <ns0:c r="M93" s="48" t="str">
        <ns0:v>高意愿（4–5分） (A)</ns0:v>
      </ns0:c>
      <ns0:c r="N93" s="14" t="str">
        <ns0:v>非高意愿（1–3分） (B)</ns0:v>
      </ns0:c>
      <ns0:c r="O93" s="48" t="str">
        <ns0:v>推荐者（9–10分） (A)</ns0:v>
      </ns0:c>
      <ns0:c r="P93" s="14" t="str">
        <ns0:v>非推荐者（0–8分） (B)</ns0:v>
      </ns0:c>
    </ns0:row>
    <ns0:row r="94">
      <ns0:c r="A94" s="20" t="str">
        <ns0:v>基数（n）：有效回答该题</ns0:v>
      </ns0:c>
      <ns0:c r="B94" s="21" t="n">
        <ns0:v>180</ns0:v>
      </ns0:c>
      <ns0:c r="C94" s="42" t="n">
        <ns0:v>61</ns0:v>
      </ns0:c>
      <ns0:c r="D94" s="21" t="n">
        <ns0:v>57</ns0:v>
      </ns0:c>
      <ns0:c r="E94" s="22" t="n">
        <ns0:v>25</ns0:v>
      </ns0:c>
      <ns0:c r="F94" s="21" t="n">
        <ns0:v>37</ns0:v>
      </ns0:c>
      <ns0:c r="G94" s="42" t="n">
        <ns0:v>101</ns0:v>
      </ns0:c>
      <ns0:c r="H94" s="21" t="n">
        <ns0:v>79</ns0:v>
      </ns0:c>
      <ns0:c r="I94" s="42" t="n">
        <ns0:v>91</ns0:v>
      </ns0:c>
      <ns0:c r="J94" s="21" t="n">
        <ns0:v>89</ns0:v>
      </ns0:c>
      <ns0:c r="K94" s="42" t="n">
        <ns0:v>75</ns0:v>
      </ns0:c>
      <ns0:c r="L94" s="21" t="n">
        <ns0:v>99</ns0:v>
      </ns0:c>
      <ns0:c r="M94" s="42" t="n">
        <ns0:v>58</ns0:v>
      </ns0:c>
      <ns0:c r="N94" s="21" t="n">
        <ns0:v>122</ns0:v>
      </ns0:c>
      <ns0:c r="O94" s="42" t="n">
        <ns0:v>61</ns0:v>
      </ns0:c>
      <ns0:c r="P94" s="21" t="n">
        <ns0:v>114</ns0:v>
      </ns0:c>
    </ns0:row>
    <ns0:row r="95" ht="26" customHeight="1">
      <ns0:c r="A95" s="25" t="str">
        <ns0:v>[Q7].请评价以下体验模块。</ns0:v>
      </ns0:c>
      <ns0:c r="B95" s="25"/>
      <ns0:c r="C95" s="43"/>
      <ns0:c r="D95" s="25"/>
      <ns0:c r="E95" s="25"/>
      <ns0:c r="F95" s="25"/>
      <ns0:c r="G95" s="43"/>
      <ns0:c r="H95" s="25"/>
      <ns0:c r="I95" s="43"/>
      <ns0:c r="J95" s="25"/>
      <ns0:c r="K95" s="43"/>
      <ns0:c r="L95" s="25"/>
      <ns0:c r="M95" s="43"/>
      <ns0:c r="N95" s="25"/>
      <ns0:c r="O95" s="43"/>
      <ns0:c r="P95" s="25"/>
    </ns0:row>
    <ns0:row r="96" ht="22" customHeight="1">
      <ns0:c r="A96" s="51" t="str">
        <ns0:v>战斗反馈｜有效基数</ns0:v>
      </ns0:c>
      <ns0:c r="B96" s="71" t="n">
        <ns0:v>180</ns0:v>
      </ns0:c>
      <ns0:c r="C96" s="74" t="n">
        <ns0:v>61</ns0:v>
      </ns0:c>
      <ns0:c r="D96" s="72" t="n">
        <ns0:v>57</ns0:v>
      </ns0:c>
      <ns0:c r="E96" s="73" t="n">
        <ns0:v>25</ns0:v>
      </ns0:c>
      <ns0:c r="F96" s="72" t="n">
        <ns0:v>37</ns0:v>
      </ns0:c>
      <ns0:c r="G96" s="74" t="n">
        <ns0:v>101</ns0:v>
      </ns0:c>
      <ns0:c r="H96" s="72" t="n">
        <ns0:v>79</ns0:v>
      </ns0:c>
      <ns0:c r="I96" s="74" t="n">
        <ns0:v>91</ns0:v>
      </ns0:c>
      <ns0:c r="J96" s="72" t="n">
        <ns0:v>89</ns0:v>
      </ns0:c>
      <ns0:c r="K96" s="74" t="n">
        <ns0:v>75</ns0:v>
      </ns0:c>
      <ns0:c r="L96" s="72" t="n">
        <ns0:v>99</ns0:v>
      </ns0:c>
      <ns0:c r="M96" s="74" t="n">
        <ns0:v>58</ns0:v>
      </ns0:c>
      <ns0:c r="N96" s="72" t="n">
        <ns0:v>122</ns0:v>
      </ns0:c>
      <ns0:c r="O96" s="74" t="n">
        <ns0:v>61</ns0:v>
      </ns0:c>
      <ns0:c r="P96" s="72" t="n">
        <ns0:v>114</ns0:v>
      </ns0:c>
    </ns0:row>
    <ns0:row r="97" ht="22" customHeight="1">
      <ns0:c r="A97" s="53" t="str">
        <ns0:v>战斗反馈｜Mean ↑</ns0:v>
      </ns0:c>
      <ns0:c r="B97" s="56" t="n">
        <ns0:v>3.45</ns0:v>
      </ns0:c>
      <ns0:c r="C97" s="187" t="n">
        <ns0:v>4.147540983606557</ns0:v>
      </ns0:c>
      <ns0:c r="D97" s="121" t="n">
        <ns0:v>3.3157894736842106</ns0:v>
      </ns0:c>
      <ns0:c r="E97" s="123" t="n">
        <ns0:v>3.64</ns0:v>
      </ns0:c>
      <ns0:c r="F97" s="125" t="n">
        <ns0:v>2.3783783783783785</ns0:v>
      </ns0:c>
      <ns0:c r="G97" s="170" t="n">
        <ns0:v>3.277227722772277</ns0:v>
      </ns0:c>
      <ns0:c r="H97" s="127" t="n">
        <ns0:v>3.670886075949367</ns0:v>
      </ns0:c>
      <ns0:c r="I97" s="175" t="n">
        <ns0:v>4.164835164835165</ns0:v>
      </ns0:c>
      <ns0:c r="J97" s="125" t="n">
        <ns0:v>2.7191011235955056</ns0:v>
      </ns0:c>
      <ns0:c r="K97" s="69" t="n">
        <ns0:v>3.52</ns0:v>
      </ns0:c>
      <ns0:c r="L97" s="57" t="n">
        <ns0:v>3.3838383838383836</ns0:v>
      </ns0:c>
      <ns0:c r="M97" s="175" t="n">
        <ns0:v>3.810344827586207</ns0:v>
      </ns0:c>
      <ns0:c r="N97" s="125" t="n">
        <ns0:v>3.278688524590164</ns0:v>
      </ns0:c>
      <ns0:c r="O97" s="175" t="n">
        <ns0:v>4.114754098360656</ns0:v>
      </ns0:c>
      <ns0:c r="P97" s="125" t="n">
        <ns0:v>3.0701754385964914</ns0:v>
      </ns0:c>
    </ns0:row>
    <ns0:row r="98" ht="22" customHeight="1">
      <ns0:c r="A98" s="53" t="str">
        <ns0:v>【指标】战斗反馈｜T2B（4–5分） ↑</ns0:v>
      </ns0:c>
      <ns0:c r="B98" s="61" t="n">
        <ns0:v>0.5222222222222223</ns0:v>
      </ns0:c>
      <ns0:c r="C98" s="188" t="n">
        <ns0:v>0.7868852459016393</ns0:v>
      </ns0:c>
      <ns0:c r="D98" s="138" t="n">
        <ns0:v>0.5087719298245614</ns0:v>
      </ns0:c>
      <ns0:c r="E98" s="140" t="n">
        <ns0:v>0.52</ns0:v>
      </ns0:c>
      <ns0:c r="F98" s="142" t="n">
        <ns0:v>0.10810810810810811</ns0:v>
      </ns0:c>
      <ns0:c r="G98" s="176" t="n">
        <ns0:v>0.46534653465346537</ns0:v>
      </ns0:c>
      <ns0:c r="H98" s="155" t="n">
        <ns0:v>0.5949367088607594</ns0:v>
      </ns0:c>
      <ns0:c r="I98" s="171" t="n">
        <ns0:v>0.8021978021978022</ns0:v>
      </ns0:c>
      <ns0:c r="J98" s="142" t="n">
        <ns0:v>0.23595505617977527</ns0:v>
      </ns0:c>
      <ns0:c r="K98" s="68" t="n">
        <ns0:v>0.56</ns0:v>
      </ns0:c>
      <ns0:c r="L98" s="62" t="n">
        <ns0:v>0.494949494949495</ns0:v>
      </ns0:c>
      <ns0:c r="M98" s="171" t="n">
        <ns0:v>0.6896551724137931</ns0:v>
      </ns0:c>
      <ns0:c r="N98" s="142" t="n">
        <ns0:v>0.4426229508196721</ns0:v>
      </ns0:c>
      <ns0:c r="O98" s="171" t="n">
        <ns0:v>0.7704918032786885</ns0:v>
      </ns0:c>
      <ns0:c r="P98" s="142" t="n">
        <ns0:v>0.37719298245614036</ns0:v>
      </ns0:c>
    </ns0:row>
    <ns0:row r="99" ht="22" customHeight="1">
      <ns0:c r="A99" s="53" t="str">
        <ns0:v>【指标】战斗反馈｜B2B（1–2分） ↓</ns0:v>
      </ns0:c>
      <ns0:c r="B99" s="61" t="n">
        <ns0:v>0.2</ns0:v>
      </ns0:c>
      <ns0:c r="C99" s="176" t="n">
        <ns0:v>0.01639344262295082</ns0:v>
      </ns0:c>
      <ns0:c r="D99" s="155" t="n">
        <ns0:v>0.21052631578947367</ns0:v>
      </ns0:c>
      <ns0:c r="E99" s="182" t="n">
        <ns0:v>0.12</ns0:v>
      </ns0:c>
      <ns0:c r="F99" s="151" t="n">
        <ns0:v>0.5405405405405406</ns0:v>
      </ns0:c>
      <ns0:c r="G99" s="171" t="n">
        <ns0:v>0.25742574257425743</ns0:v>
      </ns0:c>
      <ns0:c r="H99" s="142" t="n">
        <ns0:v>0.12658227848101267</ns0:v>
      </ns0:c>
      <ns0:c r="I99" s="176" t="n">
        <ns0:v>0</ns0:v>
      </ns0:c>
      <ns0:c r="J99" s="155" t="n">
        <ns0:v>0.4044943820224719</ns0:v>
      </ns0:c>
      <ns0:c r="K99" s="68" t="n">
        <ns0:v>0.17333333333333334</ns0:v>
      </ns0:c>
      <ns0:c r="L99" s="62" t="n">
        <ns0:v>0.2222222222222222</ns0:v>
      </ns0:c>
      <ns0:c r="M99" s="68" t="n">
        <ns0:v>0.13793103448275862</ns0:v>
      </ns0:c>
      <ns0:c r="N99" s="62" t="n">
        <ns0:v>0.22950819672131148</ns0:v>
      </ns0:c>
      <ns0:c r="O99" s="176" t="n">
        <ns0:v>0.03278688524590164</ns0:v>
      </ns0:c>
      <ns0:c r="P99" s="155" t="n">
        <ns0:v>0.2982456140350877</ns0:v>
      </ns0:c>
    </ns0:row>
    <ns0:row r="100" ht="22" customHeight="1">
      <ns0:c r="A100" s="26" t="str">
        <ns0:v>战斗反馈｜很差</ns0:v>
      </ns0:c>
      <ns0:c r="B100" s="28" t="n">
        <ns0:v>0.06111111111111111</ns0:v>
      </ns0:c>
      <ns0:c r="C100" s="44" t="n">
        <ns0:v>0</ns0:v>
      </ns0:c>
      <ns0:c r="D100" s="102" t="n">
        <ns0:v>0.05263157894736842</ns0:v>
      </ns0:c>
      <ns0:c r="E100" s="31" t="n">
        <ns0:v>0</ns0:v>
      </ns0:c>
      <ns0:c r="F100" s="159" t="n">
        <ns0:v>0.21621621621621623</ns0:v>
      </ns0:c>
      <ns0:c r="G100" s="105" t="n">
        <ns0:v>0.0891089108910891</ns0:v>
      </ns0:c>
      <ns0:c r="H100" s="96" t="n">
        <ns0:v>0.02531645569620253</ns0:v>
      </ns0:c>
      <ns0:c r="I100" s="106" t="n">
        <ns0:v>0</ns0:v>
      </ns0:c>
      <ns0:c r="J100" s="102" t="n">
        <ns0:v>0.12359550561797752</ns0:v>
      </ns0:c>
      <ns0:c r="K100" s="44" t="n">
        <ns0:v>0.06666666666666667</ns0:v>
      </ns0:c>
      <ns0:c r="L100" s="29" t="n">
        <ns0:v>0.06060606060606061</ns0:v>
      </ns0:c>
      <ns0:c r="M100" s="44" t="n">
        <ns0:v>0.034482758620689655</ns0:v>
      </ns0:c>
      <ns0:c r="N100" s="29" t="n">
        <ns0:v>0.07377049180327869</ns0:v>
      </ns0:c>
      <ns0:c r="O100" s="106" t="n">
        <ns0:v>0</ns0:v>
      </ns0:c>
      <ns0:c r="P100" s="102" t="n">
        <ns0:v>0.09649122807017543</ns0:v>
      </ns0:c>
    </ns0:row>
    <ns0:row r="101" ht="22" customHeight="1">
      <ns0:c r="A101" s="26" t="str">
        <ns0:v>战斗反馈｜较差</ns0:v>
      </ns0:c>
      <ns0:c r="B101" s="28" t="n">
        <ns0:v>0.1388888888888889</ns0:v>
      </ns0:c>
      <ns0:c r="C101" s="106" t="n">
        <ns0:v>0.01639344262295082</ns0:v>
      </ns0:c>
      <ns0:c r="D101" s="102" t="n">
        <ns0:v>0.15789473684210525</ns0:v>
      </ns0:c>
      <ns0:c r="E101" s="184" t="n">
        <ns0:v>0.12</ns0:v>
      </ns0:c>
      <ns0:c r="F101" s="159" t="n">
        <ns0:v>0.32432432432432434</ns0:v>
      </ns0:c>
      <ns0:c r="G101" s="44" t="n">
        <ns0:v>0.16831683168316833</ns0:v>
      </ns0:c>
      <ns0:c r="H101" s="29" t="n">
        <ns0:v>0.10126582278481013</ns0:v>
      </ns0:c>
      <ns0:c r="I101" s="106" t="n">
        <ns0:v>0</ns0:v>
      </ns0:c>
      <ns0:c r="J101" s="102" t="n">
        <ns0:v>0.2808988764044944</ns0:v>
      </ns0:c>
      <ns0:c r="K101" s="44" t="n">
        <ns0:v>0.10666666666666667</ns0:v>
      </ns0:c>
      <ns0:c r="L101" s="29" t="n">
        <ns0:v>0.16161616161616163</ns0:v>
      </ns0:c>
      <ns0:c r="M101" s="44" t="n">
        <ns0:v>0.10344827586206896</ns0:v>
      </ns0:c>
      <ns0:c r="N101" s="29" t="n">
        <ns0:v>0.1557377049180328</ns0:v>
      </ns0:c>
      <ns0:c r="O101" s="106" t="n">
        <ns0:v>0.03278688524590164</ns0:v>
      </ns0:c>
      <ns0:c r="P101" s="102" t="n">
        <ns0:v>0.20175438596491227</ns0:v>
      </ns0:c>
    </ns0:row>
    <ns0:row r="102" ht="22" customHeight="1">
      <ns0:c r="A102" s="26" t="str">
        <ns0:v>战斗反馈｜一般</ns0:v>
      </ns0:c>
      <ns0:c r="B102" s="28" t="n">
        <ns0:v>0.2777777777777778</ns0:v>
      </ns0:c>
      <ns0:c r="C102" s="44" t="n">
        <ns0:v>0.19672131147540983</ns0:v>
      </ns0:c>
      <ns0:c r="D102" s="29" t="n">
        <ns0:v>0.2807017543859649</ns0:v>
      </ns0:c>
      <ns0:c r="E102" s="31" t="n">
        <ns0:v>0.36</ns0:v>
      </ns0:c>
      <ns0:c r="F102" s="102" t="n">
        <ns0:v>0.35135135135135137</ns0:v>
      </ns0:c>
      <ns0:c r="G102" s="44" t="n">
        <ns0:v>0.27722772277227725</ns0:v>
      </ns0:c>
      <ns0:c r="H102" s="29" t="n">
        <ns0:v>0.27848101265822783</ns0:v>
      </ns0:c>
      <ns0:c r="I102" s="106" t="n">
        <ns0:v>0.1978021978021978</ns0:v>
      </ns0:c>
      <ns0:c r="J102" s="102" t="n">
        <ns0:v>0.3595505617977528</ns0:v>
      </ns0:c>
      <ns0:c r="K102" s="44" t="n">
        <ns0:v>0.26666666666666666</ns0:v>
      </ns0:c>
      <ns0:c r="L102" s="29" t="n">
        <ns0:v>0.2828282828282828</ns0:v>
      </ns0:c>
      <ns0:c r="M102" s="106" t="n">
        <ns0:v>0.1724137931034483</ns0:v>
      </ns0:c>
      <ns0:c r="N102" s="102" t="n">
        <ns0:v>0.32786885245901637</ns0:v>
      </ns0:c>
      <ns0:c r="O102" s="106" t="n">
        <ns0:v>0.19672131147540983</ns0:v>
      </ns0:c>
      <ns0:c r="P102" s="102" t="n">
        <ns0:v>0.32456140350877194</ns0:v>
      </ns0:c>
    </ns0:row>
    <ns0:row r="103" ht="22" customHeight="1">
      <ns0:c r="A103" s="26" t="str">
        <ns0:v>战斗反馈｜较好</ns0:v>
      </ns0:c>
      <ns0:c r="B103" s="28" t="n">
        <ns0:v>0.3333333333333333</ns0:v>
      </ns0:c>
      <ns0:c r="C103" s="168" t="n">
        <ns0:v>0.4098360655737705</ns0:v>
      </ns0:c>
      <ns0:c r="D103" s="161" t="n">
        <ns0:v>0.43859649122807015</ns0:v>
      </ns0:c>
      <ns0:c r="E103" s="163" t="n">
        <ns0:v>0.28</ns0:v>
      </ns0:c>
      <ns0:c r="F103" s="96" t="n">
        <ns0:v>0.08108108108108109</ns0:v>
      </ns0:c>
      <ns0:c r="G103" s="44" t="n">
        <ns0:v>0.3069306930693069</ns0:v>
      </ns0:c>
      <ns0:c r="H103" s="29" t="n">
        <ns0:v>0.3670886075949367</ns0:v>
      </ns0:c>
      <ns0:c r="I103" s="105" t="n">
        <ns0:v>0.43956043956043955</ns0:v>
      </ns0:c>
      <ns0:c r="J103" s="96" t="n">
        <ns0:v>0.2247191011235955</ns0:v>
      </ns0:c>
      <ns0:c r="K103" s="44" t="n">
        <ns0:v>0.36</ns0:v>
      </ns0:c>
      <ns0:c r="L103" s="29" t="n">
        <ns0:v>0.32323232323232326</ns0:v>
      </ns0:c>
      <ns0:c r="M103" s="44" t="n">
        <ns0:v>0.39655172413793105</ns0:v>
      </ns0:c>
      <ns0:c r="N103" s="29" t="n">
        <ns0:v>0.30327868852459017</ns0:v>
      </ns0:c>
      <ns0:c r="O103" s="44" t="n">
        <ns0:v>0.39344262295081966</ns0:v>
      </ns0:c>
      <ns0:c r="P103" s="29" t="n">
        <ns0:v>0.2894736842105263</ns0:v>
      </ns0:c>
    </ns0:row>
    <ns0:row r="104" ht="22" customHeight="1">
      <ns0:c r="A104" s="26" t="str">
        <ns0:v>战斗反馈｜很好</ns0:v>
      </ns0:c>
      <ns0:c r="B104" s="28" t="n">
        <ns0:v>0.18888888888888888</ns0:v>
      </ns0:c>
      <ns0:c r="C104" s="169" t="n">
        <ns0:v>0.3770491803278688</ns0:v>
      </ns0:c>
      <ns0:c r="D104" s="29" t="n">
        <ns0:v>0.07017543859649122</ns0:v>
      </ns0:c>
      <ns0:c r="E104" s="98" t="n">
        <ns0:v>0.24</ns0:v>
      </ns0:c>
      <ns0:c r="F104" s="29" t="n">
        <ns0:v>0.02702702702702703</ns0:v>
      </ns0:c>
      <ns0:c r="G104" s="44" t="n">
        <ns0:v>0.15841584158415842</ns0:v>
      </ns0:c>
      <ns0:c r="H104" s="29" t="n">
        <ns0:v>0.22784810126582278</ns0:v>
      </ns0:c>
      <ns0:c r="I104" s="105" t="n">
        <ns0:v>0.3626373626373626</ns0:v>
      </ns0:c>
      <ns0:c r="J104" s="96" t="n">
        <ns0:v>0.011235955056179775</ns0:v>
      </ns0:c>
      <ns0:c r="K104" s="44" t="n">
        <ns0:v>0.2</ns0:v>
      </ns0:c>
      <ns0:c r="L104" s="29" t="n">
        <ns0:v>0.1717171717171717</ns0:v>
      </ns0:c>
      <ns0:c r="M104" s="105" t="n">
        <ns0:v>0.29310344827586204</ns0:v>
      </ns0:c>
      <ns0:c r="N104" s="96" t="n">
        <ns0:v>0.13934426229508196</ns0:v>
      </ns0:c>
      <ns0:c r="O104" s="105" t="n">
        <ns0:v>0.3770491803278688</ns0:v>
      </ns0:c>
      <ns0:c r="P104" s="96" t="n">
        <ns0:v>0.08771929824561403</ns0:v>
      </ns0:c>
    </ns0:row>
    <ns0:row r="105" ht="22" customHeight="1">
      <ns0:c r="A105" s="51" t="str">
        <ns0:v>关卡节奏｜有效基数</ns0:v>
      </ns0:c>
      <ns0:c r="B105" s="71" t="n">
        <ns0:v>180</ns0:v>
      </ns0:c>
      <ns0:c r="C105" s="74" t="n">
        <ns0:v>61</ns0:v>
      </ns0:c>
      <ns0:c r="D105" s="72" t="n">
        <ns0:v>57</ns0:v>
      </ns0:c>
      <ns0:c r="E105" s="73" t="n">
        <ns0:v>25</ns0:v>
      </ns0:c>
      <ns0:c r="F105" s="72" t="n">
        <ns0:v>37</ns0:v>
      </ns0:c>
      <ns0:c r="G105" s="74" t="n">
        <ns0:v>101</ns0:v>
      </ns0:c>
      <ns0:c r="H105" s="72" t="n">
        <ns0:v>79</ns0:v>
      </ns0:c>
      <ns0:c r="I105" s="74" t="n">
        <ns0:v>91</ns0:v>
      </ns0:c>
      <ns0:c r="J105" s="72" t="n">
        <ns0:v>89</ns0:v>
      </ns0:c>
      <ns0:c r="K105" s="74" t="n">
        <ns0:v>75</ns0:v>
      </ns0:c>
      <ns0:c r="L105" s="72" t="n">
        <ns0:v>99</ns0:v>
      </ns0:c>
      <ns0:c r="M105" s="74" t="n">
        <ns0:v>58</ns0:v>
      </ns0:c>
      <ns0:c r="N105" s="72" t="n">
        <ns0:v>122</ns0:v>
      </ns0:c>
      <ns0:c r="O105" s="74" t="n">
        <ns0:v>61</ns0:v>
      </ns0:c>
      <ns0:c r="P105" s="72" t="n">
        <ns0:v>114</ns0:v>
      </ns0:c>
    </ns0:row>
    <ns0:row r="106" ht="22" customHeight="1">
      <ns0:c r="A106" s="53" t="str">
        <ns0:v>关卡节奏｜Mean ↑</ns0:v>
      </ns0:c>
      <ns0:c r="B106" s="56" t="n">
        <ns0:v>3.4055555555555554</ns0:v>
      </ns0:c>
      <ns0:c r="C106" s="196" t="n">
        <ns0:v>3.7049180327868854</ns0:v>
      </ns0:c>
      <ns0:c r="D106" s="121" t="n">
        <ns0:v>3.43859649122807</ns0:v>
      </ns0:c>
      <ns0:c r="E106" s="191" t="n">
        <ns0:v>3.84</ns0:v>
      </ns0:c>
      <ns0:c r="F106" s="125" t="n">
        <ns0:v>2.5675675675675675</ns0:v>
      </ns0:c>
      <ns0:c r="G106" s="170" t="n">
        <ns0:v>3.217821782178218</ns0:v>
      </ns0:c>
      <ns0:c r="H106" s="127" t="n">
        <ns0:v>3.6455696202531644</ns0:v>
      </ns0:c>
      <ns0:c r="I106" s="175" t="n">
        <ns0:v>4.153846153846154</ns0:v>
      </ns0:c>
      <ns0:c r="J106" s="125" t="n">
        <ns0:v>2.640449438202247</ns0:v>
      </ns0:c>
      <ns0:c r="K106" s="69" t="n">
        <ns0:v>3.4266666666666667</ns0:v>
      </ns0:c>
      <ns0:c r="L106" s="57" t="n">
        <ns0:v>3.3838383838383836</ns0:v>
      </ns0:c>
      <ns0:c r="M106" s="175" t="n">
        <ns0:v>3.8275862068965516</ns0:v>
      </ns0:c>
      <ns0:c r="N106" s="125" t="n">
        <ns0:v>3.2049180327868854</ns0:v>
      </ns0:c>
      <ns0:c r="O106" s="175" t="n">
        <ns0:v>4.049180327868853</ns0:v>
      </ns0:c>
      <ns0:c r="P106" s="125" t="n">
        <ns0:v>3.043859649122807</ns0:v>
      </ns0:c>
    </ns0:row>
    <ns0:row r="107" ht="22" customHeight="1">
      <ns0:c r="A107" s="53" t="str">
        <ns0:v>【指标】关卡节奏｜T2B（4–5分） ↑</ns0:v>
      </ns0:c>
      <ns0:c r="B107" s="61" t="n">
        <ns0:v>0.5055555555555555</ns0:v>
      </ns0:c>
      <ns0:c r="C107" s="197" t="n">
        <ns0:v>0.5901639344262295</ns0:v>
      </ns0:c>
      <ns0:c r="D107" s="138" t="n">
        <ns0:v>0.5263157894736842</ns0:v>
      </ns0:c>
      <ns0:c r="E107" s="193" t="n">
        <ns0:v>0.76</ns0:v>
      </ns0:c>
      <ns0:c r="F107" s="142" t="n">
        <ns0:v>0.16216216216216217</ns0:v>
      </ns0:c>
      <ns0:c r="G107" s="176" t="n">
        <ns0:v>0.4158415841584158</ns0:v>
      </ns0:c>
      <ns0:c r="H107" s="155" t="n">
        <ns0:v>0.620253164556962</ns0:v>
      </ns0:c>
      <ns0:c r="I107" s="171" t="n">
        <ns0:v>0.8461538461538461</ns0:v>
      </ns0:c>
      <ns0:c r="J107" s="142" t="n">
        <ns0:v>0.15730337078651685</ns0:v>
      </ns0:c>
      <ns0:c r="K107" s="68" t="n">
        <ns0:v>0.5066666666666667</ns0:v>
      </ns0:c>
      <ns0:c r="L107" s="62" t="n">
        <ns0:v>0.5151515151515151</ns0:v>
      </ns0:c>
      <ns0:c r="M107" s="171" t="n">
        <ns0:v>0.6206896551724138</ns0:v>
      </ns0:c>
      <ns0:c r="N107" s="142" t="n">
        <ns0:v>0.45081967213114754</ns0:v>
      </ns0:c>
      <ns0:c r="O107" s="171" t="n">
        <ns0:v>0.7540983606557377</ns0:v>
      </ns0:c>
      <ns0:c r="P107" s="142" t="n">
        <ns0:v>0.3684210526315789</ns0:v>
      </ns0:c>
    </ns0:row>
    <ns0:row r="108" ht="22" customHeight="1">
      <ns0:c r="A108" s="53" t="str">
        <ns0:v>【指标】关卡节奏｜B2B（1–2分） ↓</ns0:v>
      </ns0:c>
      <ns0:c r="B108" s="61" t="n">
        <ns0:v>0.2</ns0:v>
      </ns0:c>
      <ns0:c r="C108" s="68" t="n">
        <ns0:v>0.11475409836065574</ns0:v>
      </ns0:c>
      <ns0:c r="D108" s="62" t="n">
        <ns0:v>0.17543859649122806</ns0:v>
      </ns0:c>
      <ns0:c r="E108" s="64" t="n">
        <ns0:v>0.08</ns0:v>
      </ns0:c>
      <ns0:c r="F108" s="151" t="n">
        <ns0:v>0.4594594594594595</ns0:v>
      </ns0:c>
      <ns0:c r="G108" s="171" t="n">
        <ns0:v>0.24752475247524752</ns0:v>
      </ns0:c>
      <ns0:c r="H108" s="142" t="n">
        <ns0:v>0.13924050632911392</ns0:v>
      </ns0:c>
      <ns0:c r="I108" s="176" t="n">
        <ns0:v>0.01098901098901099</ns0:v>
      </ns0:c>
      <ns0:c r="J108" s="155" t="n">
        <ns0:v>0.39325842696629215</ns0:v>
      </ns0:c>
      <ns0:c r="K108" s="68" t="n">
        <ns0:v>0.2</ns0:v>
      </ns0:c>
      <ns0:c r="L108" s="62" t="n">
        <ns0:v>0.20202020202020202</ns0:v>
      </ns0:c>
      <ns0:c r="M108" s="176" t="n">
        <ns0:v>0.06896551724137931</ns0:v>
      </ns0:c>
      <ns0:c r="N108" s="155" t="n">
        <ns0:v>0.26229508196721313</ns0:v>
      </ns0:c>
      <ns0:c r="O108" s="176" t="n">
        <ns0:v>0.06557377049180328</ns0:v>
      </ns0:c>
      <ns0:c r="P108" s="155" t="n">
        <ns0:v>0.2807017543859649</ns0:v>
      </ns0:c>
    </ns0:row>
    <ns0:row r="109" ht="22" customHeight="1">
      <ns0:c r="A109" s="26" t="str">
        <ns0:v>关卡节奏｜很差</ns0:v>
      </ns0:c>
      <ns0:c r="B109" s="28" t="n">
        <ns0:v>0.06666666666666667</ns0:v>
      </ns0:c>
      <ns0:c r="C109" s="44" t="n">
        <ns0:v>0.01639344262295082</ns0:v>
      </ns0:c>
      <ns0:c r="D109" s="29" t="n">
        <ns0:v>0.07017543859649122</ns0:v>
      </ns0:c>
      <ns0:c r="E109" s="31" t="n">
        <ns0:v>0.04</ns0:v>
      </ns0:c>
      <ns0:c r="F109" s="102" t="n">
        <ns0:v>0.16216216216216217</ns0:v>
      </ns0:c>
      <ns0:c r="G109" s="44" t="n">
        <ns0:v>0.07920792079207921</ns0:v>
      </ns0:c>
      <ns0:c r="H109" s="29" t="n">
        <ns0:v>0.05063291139240506</ns0:v>
      </ns0:c>
      <ns0:c r="I109" s="106" t="n">
        <ns0:v>0</ns0:v>
      </ns0:c>
      <ns0:c r="J109" s="102" t="n">
        <ns0:v>0.1348314606741573</ns0:v>
      </ns0:c>
      <ns0:c r="K109" s="44" t="n">
        <ns0:v>0.05333333333333334</ns0:v>
      </ns0:c>
      <ns0:c r="L109" s="29" t="n">
        <ns0:v>0.08080808080808081</ns0:v>
      </ns0:c>
      <ns0:c r="M109" s="106" t="n">
        <ns0:v>0.017241379310344827</ns0:v>
      </ns0:c>
      <ns0:c r="N109" s="102" t="n">
        <ns0:v>0.09016393442622951</ns0:v>
      </ns0:c>
      <ns0:c r="O109" s="106" t="n">
        <ns0:v>0</ns0:v>
      </ns0:c>
      <ns0:c r="P109" s="102" t="n">
        <ns0:v>0.10526315789473684</ns0:v>
      </ns0:c>
    </ns0:row>
    <ns0:row r="110" ht="22" customHeight="1">
      <ns0:c r="A110" s="26" t="str">
        <ns0:v>关卡节奏｜较差</ns0:v>
      </ns0:c>
      <ns0:c r="B110" s="28" t="n">
        <ns0:v>0.13333333333333333</ns0:v>
      </ns0:c>
      <ns0:c r="C110" s="44" t="n">
        <ns0:v>0.09836065573770492</ns0:v>
      </ns0:c>
      <ns0:c r="D110" s="29" t="n">
        <ns0:v>0.10526315789473684</ns0:v>
      </ns0:c>
      <ns0:c r="E110" s="31" t="n">
        <ns0:v>0.04</ns0:v>
      </ns0:c>
      <ns0:c r="F110" s="159" t="n">
        <ns0:v>0.2972972972972973</ns0:v>
      </ns0:c>
      <ns0:c r="G110" s="44" t="n">
        <ns0:v>0.16831683168316833</ns0:v>
      </ns0:c>
      <ns0:c r="H110" s="29" t="n">
        <ns0:v>0.08860759493670886</ns0:v>
      </ns0:c>
      <ns0:c r="I110" s="106" t="n">
        <ns0:v>0.01098901098901099</ns0:v>
      </ns0:c>
      <ns0:c r="J110" s="102" t="n">
        <ns0:v>0.25842696629213485</ns0:v>
      </ns0:c>
      <ns0:c r="K110" s="44" t="n">
        <ns0:v>0.14666666666666667</ns0:v>
      </ns0:c>
      <ns0:c r="L110" s="29" t="n">
        <ns0:v>0.12121212121212122</ns0:v>
      </ns0:c>
      <ns0:c r="M110" s="106" t="n">
        <ns0:v>0.05172413793103448</ns0:v>
      </ns0:c>
      <ns0:c r="N110" s="102" t="n">
        <ns0:v>0.1721311475409836</ns0:v>
      </ns0:c>
      <ns0:c r="O110" s="106" t="n">
        <ns0:v>0.06557377049180328</ns0:v>
      </ns0:c>
      <ns0:c r="P110" s="102" t="n">
        <ns0:v>0.17543859649122806</ns0:v>
      </ns0:c>
    </ns0:row>
    <ns0:row r="111" ht="22" customHeight="1">
      <ns0:c r="A111" s="26" t="str">
        <ns0:v>关卡节奏｜一般</ns0:v>
      </ns0:c>
      <ns0:c r="B111" s="28" t="n">
        <ns0:v>0.29444444444444445</ns0:v>
      </ns0:c>
      <ns0:c r="C111" s="44" t="n">
        <ns0:v>0.29508196721311475</ns0:v>
      </ns0:c>
      <ns0:c r="D111" s="29" t="n">
        <ns0:v>0.2982456140350877</ns0:v>
      </ns0:c>
      <ns0:c r="E111" s="31" t="n">
        <ns0:v>0.16</ns0:v>
      </ns0:c>
      <ns0:c r="F111" s="87" t="n">
        <ns0:v>0.3783783783783784</ns0:v>
      </ns0:c>
      <ns0:c r="G111" s="44" t="n">
        <ns0:v>0.33663366336633666</ns0:v>
      </ns0:c>
      <ns0:c r="H111" s="29" t="n">
        <ns0:v>0.24050632911392406</ns0:v>
      </ns0:c>
      <ns0:c r="I111" s="106" t="n">
        <ns0:v>0.14285714285714285</ns0:v>
      </ns0:c>
      <ns0:c r="J111" s="102" t="n">
        <ns0:v>0.449438202247191</ns0:v>
      </ns0:c>
      <ns0:c r="K111" s="44" t="n">
        <ns0:v>0.29333333333333333</ns0:v>
      </ns0:c>
      <ns0:c r="L111" s="29" t="n">
        <ns0:v>0.2828282828282828</ns0:v>
      </ns0:c>
      <ns0:c r="M111" s="44" t="n">
        <ns0:v>0.3103448275862069</ns0:v>
      </ns0:c>
      <ns0:c r="N111" s="29" t="n">
        <ns0:v>0.28688524590163933</ns0:v>
      </ns0:c>
      <ns0:c r="O111" s="106" t="n">
        <ns0:v>0.18032786885245902</ns0:v>
      </ns0:c>
      <ns0:c r="P111" s="102" t="n">
        <ns0:v>0.3508771929824561</ns0:v>
      </ns0:c>
    </ns0:row>
    <ns0:row r="112" ht="22" customHeight="1">
      <ns0:c r="A112" s="26" t="str">
        <ns0:v>关卡节奏｜较好</ns0:v>
      </ns0:c>
      <ns0:c r="B112" s="28" t="n">
        <ns0:v>0.3388888888888889</ns0:v>
      </ns0:c>
      <ns0:c r="C112" s="168" t="n">
        <ns0:v>0.3442622950819672</ns0:v>
      </ns0:c>
      <ns0:c r="D112" s="161" t="n">
        <ns0:v>0.3684210526315789</ns0:v>
      </ns0:c>
      <ns0:c r="E112" s="195" t="n">
        <ns0:v>0.56</ns0:v>
      </ns0:c>
      <ns0:c r="F112" s="96" t="n">
        <ns0:v>0.13513513513513514</ns0:v>
      </ns0:c>
      <ns0:c r="G112" s="106" t="n">
        <ns0:v>0.2871287128712871</ns0:v>
      </ns0:c>
      <ns0:c r="H112" s="102" t="n">
        <ns0:v>0.4050632911392405</ns0:v>
      </ns0:c>
      <ns0:c r="I112" s="105" t="n">
        <ns0:v>0.5274725274725275</ns0:v>
      </ns0:c>
      <ns0:c r="J112" s="96" t="n">
        <ns0:v>0.14606741573033707</ns0:v>
      </ns0:c>
      <ns0:c r="K112" s="44" t="n">
        <ns0:v>0.3333333333333333</ns0:v>
      </ns0:c>
      <ns0:c r="L112" s="29" t="n">
        <ns0:v>0.36363636363636365</ns0:v>
      </ns0:c>
      <ns0:c r="M112" s="44" t="n">
        <ns0:v>0.3275862068965517</ns0:v>
      </ns0:c>
      <ns0:c r="N112" s="29" t="n">
        <ns0:v>0.3442622950819672</ns0:v>
      </ns0:c>
      <ns0:c r="O112" s="44" t="n">
        <ns0:v>0.39344262295081966</ns0:v>
      </ns0:c>
      <ns0:c r="P112" s="29" t="n">
        <ns0:v>0.30701754385964913</ns0:v>
      </ns0:c>
    </ns0:row>
    <ns0:row r="113" ht="22" customHeight="1">
      <ns0:c r="A113" s="26" t="str">
        <ns0:v>关卡节奏｜很好</ns0:v>
      </ns0:c>
      <ns0:c r="B113" s="28" t="n">
        <ns0:v>0.16666666666666666</ns0:v>
      </ns0:c>
      <ns0:c r="C113" s="168" t="n">
        <ns0:v>0.2459016393442623</ns0:v>
      </ns0:c>
      <ns0:c r="D113" s="161" t="n">
        <ns0:v>0.15789473684210525</ns0:v>
      </ns0:c>
      <ns0:c r="E113" s="163" t="n">
        <ns0:v>0.2</ns0:v>
      </ns0:c>
      <ns0:c r="F113" s="96" t="n">
        <ns0:v>0.02702702702702703</ns0:v>
      </ns0:c>
      <ns0:c r="G113" s="44" t="n">
        <ns0:v>0.12871287128712872</ns0:v>
      </ns0:c>
      <ns0:c r="H113" s="29" t="n">
        <ns0:v>0.21518987341772153</ns0:v>
      </ns0:c>
      <ns0:c r="I113" s="105" t="n">
        <ns0:v>0.31868131868131866</ns0:v>
      </ns0:c>
      <ns0:c r="J113" s="96" t="n">
        <ns0:v>0.011235955056179775</ns0:v>
      </ns0:c>
      <ns0:c r="K113" s="44" t="n">
        <ns0:v>0.17333333333333334</ns0:v>
      </ns0:c>
      <ns0:c r="L113" s="29" t="n">
        <ns0:v>0.15151515151515152</ns0:v>
      </ns0:c>
      <ns0:c r="M113" s="105" t="n">
        <ns0:v>0.29310344827586204</ns0:v>
      </ns0:c>
      <ns0:c r="N113" s="96" t="n">
        <ns0:v>0.10655737704918032</ns0:v>
      </ns0:c>
      <ns0:c r="O113" s="105" t="n">
        <ns0:v>0.36065573770491804</ns0:v>
      </ns0:c>
      <ns0:c r="P113" s="96" t="n">
        <ns0:v>0.06140350877192982</ns0:v>
      </ns0:c>
    </ns0:row>
    <ns0:row r="114" ht="22" customHeight="1">
      <ns0:c r="A114" s="51" t="str">
        <ns0:v>视觉表现｜有效基数</ns0:v>
      </ns0:c>
      <ns0:c r="B114" s="71" t="n">
        <ns0:v>180</ns0:v>
      </ns0:c>
      <ns0:c r="C114" s="74" t="n">
        <ns0:v>61</ns0:v>
      </ns0:c>
      <ns0:c r="D114" s="72" t="n">
        <ns0:v>57</ns0:v>
      </ns0:c>
      <ns0:c r="E114" s="73" t="n">
        <ns0:v>25</ns0:v>
      </ns0:c>
      <ns0:c r="F114" s="72" t="n">
        <ns0:v>37</ns0:v>
      </ns0:c>
      <ns0:c r="G114" s="74" t="n">
        <ns0:v>101</ns0:v>
      </ns0:c>
      <ns0:c r="H114" s="72" t="n">
        <ns0:v>79</ns0:v>
      </ns0:c>
      <ns0:c r="I114" s="74" t="n">
        <ns0:v>91</ns0:v>
      </ns0:c>
      <ns0:c r="J114" s="72" t="n">
        <ns0:v>89</ns0:v>
      </ns0:c>
      <ns0:c r="K114" s="74" t="n">
        <ns0:v>75</ns0:v>
      </ns0:c>
      <ns0:c r="L114" s="72" t="n">
        <ns0:v>99</ns0:v>
      </ns0:c>
      <ns0:c r="M114" s="74" t="n">
        <ns0:v>58</ns0:v>
      </ns0:c>
      <ns0:c r="N114" s="72" t="n">
        <ns0:v>122</ns0:v>
      </ns0:c>
      <ns0:c r="O114" s="74" t="n">
        <ns0:v>61</ns0:v>
      </ns0:c>
      <ns0:c r="P114" s="72" t="n">
        <ns0:v>114</ns0:v>
      </ns0:c>
    </ns0:row>
    <ns0:row r="115" ht="22" customHeight="1">
      <ns0:c r="A115" s="53" t="str">
        <ns0:v>视觉表现｜Mean ↑</ns0:v>
      </ns0:c>
      <ns0:c r="B115" s="56" t="n">
        <ns0:v>3.5166666666666666</ns0:v>
      </ns0:c>
      <ns0:c r="C115" s="166" t="n">
        <ns0:v>3.9344262295081966</ns0:v>
      </ns0:c>
      <ns0:c r="D115" s="121" t="n">
        <ns0:v>3.5964912280701755</ns0:v>
      </ns0:c>
      <ns0:c r="E115" s="123" t="n">
        <ns0:v>3.72</ns0:v>
      </ns0:c>
      <ns0:c r="F115" s="125" t="n">
        <ns0:v>2.5675675675675675</ns0:v>
      </ns0:c>
      <ns0:c r="G115" s="170" t="n">
        <ns0:v>3.386138613861386</ns0:v>
      </ns0:c>
      <ns0:c r="H115" s="127" t="n">
        <ns0:v>3.6835443037974684</ns0:v>
      </ns0:c>
      <ns0:c r="I115" s="175" t="n">
        <ns0:v>4.21978021978022</ns0:v>
      </ns0:c>
      <ns0:c r="J115" s="125" t="n">
        <ns0:v>2.797752808988764</ns0:v>
      </ns0:c>
      <ns0:c r="K115" s="69" t="n">
        <ns0:v>3.533333333333333</ns0:v>
      </ns0:c>
      <ns0:c r="L115" s="57" t="n">
        <ns0:v>3.515151515151515</ns0:v>
      </ns0:c>
      <ns0:c r="M115" s="175" t="n">
        <ns0:v>3.8448275862068964</ns0:v>
      </ns0:c>
      <ns0:c r="N115" s="125" t="n">
        <ns0:v>3.360655737704918</ns0:v>
      </ns0:c>
      <ns0:c r="O115" s="175" t="n">
        <ns0:v>4.163934426229508</ns0:v>
      </ns0:c>
      <ns0:c r="P115" s="125" t="n">
        <ns0:v>3.1578947368421053</ns0:v>
      </ns0:c>
    </ns0:row>
    <ns0:row r="116" ht="22" customHeight="1">
      <ns0:c r="A116" s="53" t="str">
        <ns0:v>【指标】视觉表现｜T2B（4–5分） ↑</ns0:v>
      </ns0:c>
      <ns0:c r="B116" s="61" t="n">
        <ns0:v>0.5388888888888889</ns0:v>
      </ns0:c>
      <ns0:c r="C116" s="197" t="n">
        <ns0:v>0.7049180327868853</ns0:v>
      </ns0:c>
      <ns0:c r="D116" s="138" t="n">
        <ns0:v>0.5789473684210527</ns0:v>
      </ns0:c>
      <ns0:c r="E116" s="140" t="n">
        <ns0:v>0.6</ns0:v>
      </ns0:c>
      <ns0:c r="F116" s="142" t="n">
        <ns0:v>0.16216216216216217</ns0:v>
      </ns0:c>
      <ns0:c r="G116" s="176" t="n">
        <ns0:v>0.4752475247524752</ns0:v>
      </ns0:c>
      <ns0:c r="H116" s="155" t="n">
        <ns0:v>0.620253164556962</ns0:v>
      </ns0:c>
      <ns0:c r="I116" s="171" t="n">
        <ns0:v>0.8351648351648352</ns0:v>
      </ns0:c>
      <ns0:c r="J116" s="142" t="n">
        <ns0:v>0.23595505617977527</ns0:v>
      </ns0:c>
      <ns0:c r="K116" s="68" t="n">
        <ns0:v>0.56</ns0:v>
      </ns0:c>
      <ns0:c r="L116" s="62" t="n">
        <ns0:v>0.5252525252525253</ns0:v>
      </ns0:c>
      <ns0:c r="M116" s="171" t="n">
        <ns0:v>0.6896551724137931</ns0:v>
      </ns0:c>
      <ns0:c r="N116" s="142" t="n">
        <ns0:v>0.4672131147540984</ns0:v>
      </ns0:c>
      <ns0:c r="O116" s="171" t="n">
        <ns0:v>0.7704918032786885</ns0:v>
      </ns0:c>
      <ns0:c r="P116" s="142" t="n">
        <ns0:v>0.41228070175438597</ns0:v>
      </ns0:c>
    </ns0:row>
    <ns0:row r="117" ht="22" customHeight="1">
      <ns0:c r="A117" s="53" t="str">
        <ns0:v>【指标】视觉表现｜B2B（1–2分） ↓</ns0:v>
      </ns0:c>
      <ns0:c r="B117" s="61" t="n">
        <ns0:v>0.2</ns0:v>
      </ns0:c>
      <ns0:c r="C117" s="68" t="n">
        <ns0:v>0.08196721311475409</ns0:v>
      </ns0:c>
      <ns0:c r="D117" s="62" t="n">
        <ns0:v>0.12280701754385964</ns0:v>
      </ns0:c>
      <ns0:c r="E117" s="64" t="n">
        <ns0:v>0.08</ns0:v>
      </ns0:c>
      <ns0:c r="F117" s="151" t="n">
        <ns0:v>0.5945945945945946</ns0:v>
      </ns0:c>
      <ns0:c r="G117" s="68" t="n">
        <ns0:v>0.21782178217821782</ns0:v>
      </ns0:c>
      <ns0:c r="H117" s="62" t="n">
        <ns0:v>0.17721518987341772</ns0:v>
      </ns0:c>
      <ns0:c r="I117" s="176" t="n">
        <ns0:v>0</ns0:v>
      </ns0:c>
      <ns0:c r="J117" s="155" t="n">
        <ns0:v>0.4044943820224719</ns0:v>
      </ns0:c>
      <ns0:c r="K117" s="68" t="n">
        <ns0:v>0.18666666666666668</ns0:v>
      </ns0:c>
      <ns0:c r="L117" s="62" t="n">
        <ns0:v>0.1919191919191919</ns0:v>
      </ns0:c>
      <ns0:c r="M117" s="68" t="n">
        <ns0:v>0.13793103448275862</ns0:v>
      </ns0:c>
      <ns0:c r="N117" s="62" t="n">
        <ns0:v>0.22950819672131148</ns0:v>
      </ns0:c>
      <ns0:c r="O117" s="176" t="n">
        <ns0:v>0</ns0:v>
      </ns0:c>
      <ns0:c r="P117" s="155" t="n">
        <ns0:v>0.3157894736842105</ns0:v>
      </ns0:c>
    </ns0:row>
    <ns0:row r="118" ht="22" customHeight="1">
      <ns0:c r="A118" s="26" t="str">
        <ns0:v>视觉表现｜很差</ns0:v>
      </ns0:c>
      <ns0:c r="B118" s="28" t="n">
        <ns0:v>0.027777777777777776</ns0:v>
      </ns0:c>
      <ns0:c r="C118" s="44" t="n">
        <ns0:v>0</ns0:v>
      </ns0:c>
      <ns0:c r="D118" s="29" t="n">
        <ns0:v>0</ns0:v>
      </ns0:c>
      <ns0:c r="E118" s="31" t="n">
        <ns0:v>0.04</ns0:v>
      </ns0:c>
      <ns0:c r="F118" s="157" t="n">
        <ns0:v>0.10810810810810811</ns0:v>
      </ns0:c>
      <ns0:c r="G118" s="105" t="n">
        <ns0:v>0.04950495049504951</ns0:v>
      </ns0:c>
      <ns0:c r="H118" s="96" t="n">
        <ns0:v>0</ns0:v>
      </ns0:c>
      <ns0:c r="I118" s="106" t="n">
        <ns0:v>0</ns0:v>
      </ns0:c>
      <ns0:c r="J118" s="102" t="n">
        <ns0:v>0.056179775280898875</ns0:v>
      </ns0:c>
      <ns0:c r="K118" s="44" t="n">
        <ns0:v>0.02666666666666667</ns0:v>
      </ns0:c>
      <ns0:c r="L118" s="29" t="n">
        <ns0:v>0.030303030303030304</ns0:v>
      </ns0:c>
      <ns0:c r="M118" s="44" t="n">
        <ns0:v>0.034482758620689655</ns0:v>
      </ns0:c>
      <ns0:c r="N118" s="29" t="n">
        <ns0:v>0.02459016393442623</ns0:v>
      </ns0:c>
      <ns0:c r="O118" s="106" t="n">
        <ns0:v>0</ns0:v>
      </ns0:c>
      <ns0:c r="P118" s="102" t="n">
        <ns0:v>0.043859649122807015</ns0:v>
      </ns0:c>
    </ns0:row>
    <ns0:row r="119" ht="22" customHeight="1">
      <ns0:c r="A119" s="26" t="str">
        <ns0:v>视觉表现｜较差</ns0:v>
      </ns0:c>
      <ns0:c r="B119" s="28" t="n">
        <ns0:v>0.17222222222222222</ns0:v>
      </ns0:c>
      <ns0:c r="C119" s="44" t="n">
        <ns0:v>0.08196721311475409</ns0:v>
      </ns0:c>
      <ns0:c r="D119" s="29" t="n">
        <ns0:v>0.12280701754385964</ns0:v>
      </ns0:c>
      <ns0:c r="E119" s="31" t="n">
        <ns0:v>0.04</ns0:v>
      </ns0:c>
      <ns0:c r="F119" s="159" t="n">
        <ns0:v>0.4864864864864865</ns0:v>
      </ns0:c>
      <ns0:c r="G119" s="44" t="n">
        <ns0:v>0.16831683168316833</ns0:v>
      </ns0:c>
      <ns0:c r="H119" s="29" t="n">
        <ns0:v>0.17721518987341772</ns0:v>
      </ns0:c>
      <ns0:c r="I119" s="106" t="n">
        <ns0:v>0</ns0:v>
      </ns0:c>
      <ns0:c r="J119" s="102" t="n">
        <ns0:v>0.34831460674157305</ns0:v>
      </ns0:c>
      <ns0:c r="K119" s="44" t="n">
        <ns0:v>0.16</ns0:v>
      </ns0:c>
      <ns0:c r="L119" s="29" t="n">
        <ns0:v>0.16161616161616163</ns0:v>
      </ns0:c>
      <ns0:c r="M119" s="106" t="n">
        <ns0:v>0.10344827586206896</ns0:v>
      </ns0:c>
      <ns0:c r="N119" s="102" t="n">
        <ns0:v>0.20491803278688525</ns0:v>
      </ns0:c>
      <ns0:c r="O119" s="106" t="n">
        <ns0:v>0</ns0:v>
      </ns0:c>
      <ns0:c r="P119" s="102" t="n">
        <ns0:v>0.2719298245614035</ns0:v>
      </ns0:c>
    </ns0:row>
    <ns0:row r="120" ht="22" customHeight="1">
      <ns0:c r="A120" s="26" t="str">
        <ns0:v>视觉表现｜一般</ns0:v>
      </ns0:c>
      <ns0:c r="B120" s="28" t="n">
        <ns0:v>0.2611111111111111</ns0:v>
      </ns0:c>
      <ns0:c r="C120" s="44" t="n">
        <ns0:v>0.21311475409836064</ns0:v>
      </ns0:c>
      <ns0:c r="D120" s="29" t="n">
        <ns0:v>0.2982456140350877</ns0:v>
      </ns0:c>
      <ns0:c r="E120" s="31" t="n">
        <ns0:v>0.32</ns0:v>
      </ns0:c>
      <ns0:c r="F120" s="29" t="n">
        <ns0:v>0.24324324324324326</ns0:v>
      </ns0:c>
      <ns0:c r="G120" s="44" t="n">
        <ns0:v>0.3069306930693069</ns0:v>
      </ns0:c>
      <ns0:c r="H120" s="29" t="n">
        <ns0:v>0.20253164556962025</ns0:v>
      </ns0:c>
      <ns0:c r="I120" s="106" t="n">
        <ns0:v>0.16483516483516483</ns0:v>
      </ns0:c>
      <ns0:c r="J120" s="102" t="n">
        <ns0:v>0.3595505617977528</ns0:v>
      </ns0:c>
      <ns0:c r="K120" s="44" t="n">
        <ns0:v>0.25333333333333335</ns0:v>
      </ns0:c>
      <ns0:c r="L120" s="29" t="n">
        <ns0:v>0.2828282828282828</ns0:v>
      </ns0:c>
      <ns0:c r="M120" s="106" t="n">
        <ns0:v>0.1724137931034483</ns0:v>
      </ns0:c>
      <ns0:c r="N120" s="102" t="n">
        <ns0:v>0.30327868852459017</ns0:v>
      </ns0:c>
      <ns0:c r="O120" s="44" t="n">
        <ns0:v>0.22950819672131148</ns0:v>
      </ns0:c>
      <ns0:c r="P120" s="29" t="n">
        <ns0:v>0.2719298245614035</ns0:v>
      </ns0:c>
    </ns0:row>
    <ns0:row r="121" ht="22" customHeight="1">
      <ns0:c r="A121" s="26" t="str">
        <ns0:v>视觉表现｜较好</ns0:v>
      </ns0:c>
      <ns0:c r="B121" s="28" t="n">
        <ns0:v>0.3333333333333333</ns0:v>
      </ns0:c>
      <ns0:c r="C121" s="168" t="n">
        <ns0:v>0.39344262295081966</ns0:v>
      </ns0:c>
      <ns0:c r="D121" s="161" t="n">
        <ns0:v>0.43859649122807015</ns0:v>
      </ns0:c>
      <ns0:c r="E121" s="163" t="n">
        <ns0:v>0.36</ns0:v>
      </ns0:c>
      <ns0:c r="F121" s="96" t="n">
        <ns0:v>0.05405405405405406</ns0:v>
      </ns0:c>
      <ns0:c r="G121" s="44" t="n">
        <ns0:v>0.297029702970297</ns0:v>
      </ns0:c>
      <ns0:c r="H121" s="29" t="n">
        <ns0:v>0.379746835443038</ns0:v>
      </ns0:c>
      <ns0:c r="I121" s="105" t="n">
        <ns0:v>0.45054945054945056</ns0:v>
      </ns0:c>
      <ns0:c r="J121" s="96" t="n">
        <ns0:v>0.21348314606741572</ns0:v>
      </ns0:c>
      <ns0:c r="K121" s="44" t="n">
        <ns0:v>0.37333333333333335</ns0:v>
      </ns0:c>
      <ns0:c r="L121" s="29" t="n">
        <ns0:v>0.31313131313131315</ns0:v>
      </ns0:c>
      <ns0:c r="M121" s="44" t="n">
        <ns0:v>0.3620689655172414</ns0:v>
      </ns0:c>
      <ns0:c r="N121" s="29" t="n">
        <ns0:v>0.319672131147541</ns0:v>
      </ns0:c>
      <ns0:c r="O121" s="44" t="n">
        <ns0:v>0.3770491803278688</ns0:v>
      </ns0:c>
      <ns0:c r="P121" s="29" t="n">
        <ns0:v>0.30701754385964913</ns0:v>
      </ns0:c>
    </ns0:row>
    <ns0:row r="122" ht="22" customHeight="1">
      <ns0:c r="A122" s="26" t="str">
        <ns0:v>视觉表现｜很好</ns0:v>
      </ns0:c>
      <ns0:c r="B122" s="28" t="n">
        <ns0:v>0.20555555555555555</ns0:v>
      </ns0:c>
      <ns0:c r="C122" s="169" t="n">
        <ns0:v>0.3114754098360656</ns0:v>
      </ns0:c>
      <ns0:c r="D122" s="29" t="n">
        <ns0:v>0.14035087719298245</ns0:v>
      </ns0:c>
      <ns0:c r="E122" s="31" t="n">
        <ns0:v>0.24</ns0:v>
      </ns0:c>
      <ns0:c r="F122" s="29" t="n">
        <ns0:v>0.10810810810810811</ns0:v>
      </ns0:c>
      <ns0:c r="G122" s="44" t="n">
        <ns0:v>0.1782178217821782</ns0:v>
      </ns0:c>
      <ns0:c r="H122" s="29" t="n">
        <ns0:v>0.24050632911392406</ns0:v>
      </ns0:c>
      <ns0:c r="I122" s="105" t="n">
        <ns0:v>0.38461538461538464</ns0:v>
      </ns0:c>
      <ns0:c r="J122" s="96" t="n">
        <ns0:v>0.02247191011235955</ns0:v>
      </ns0:c>
      <ns0:c r="K122" s="44" t="n">
        <ns0:v>0.18666666666666668</ns0:v>
      </ns0:c>
      <ns0:c r="L122" s="29" t="n">
        <ns0:v>0.21212121212121213</ns0:v>
      </ns0:c>
      <ns0:c r="M122" s="105" t="n">
        <ns0:v>0.3275862068965517</ns0:v>
      </ns0:c>
      <ns0:c r="N122" s="96" t="n">
        <ns0:v>0.14754098360655737</ns0:v>
      </ns0:c>
      <ns0:c r="O122" s="105" t="n">
        <ns0:v>0.39344262295081966</ns0:v>
      </ns0:c>
      <ns0:c r="P122" s="96" t="n">
        <ns0:v>0.10526315789473684</ns0:v>
      </ns0:c>
    </ns0:row>
    <ns0:row r="125" ht="24" customHeight="1">
      <ns0:c r="A125" s="17" t="str">
        <ns0:v>NPS 推荐意愿</ns0:v>
      </ns0:c>
      <ns0:c r="B125" s="18" t="str">
        <ns0:v>返回目录</ns0:v>
      </ns0:c>
      <ns0:c r="C125" s="17"/>
      <ns0:c r="D125" s="17"/>
      <ns0:c r="E125" s="17"/>
      <ns0:c r="F125" s="17"/>
      <ns0:c r="G125" s="17"/>
      <ns0:c r="H125" s="17"/>
      <ns0:c r="I125" s="17"/>
      <ns0:c r="J125" s="17"/>
      <ns0:c r="K125" s="17"/>
      <ns0:c r="L125" s="17"/>
      <ns0:c r="M125" s="17"/>
      <ns0:c r="N125" s="17"/>
      <ns0:c r="O125" s="17"/>
      <ns0:c r="P125" s="17"/>
    </ns0:row>
    <ns0:row r="126" ht="22" customHeight="1">
      <ns0:c r="A126" s="10" t="str">
        <ns0:v>分组族</ns0:v>
      </ns0:c>
      <ns0:c r="B126" s="11" t="str">
        <ns0:v>总体</ns0:v>
      </ns0:c>
      <ns0:c r="C126" s="41" t="str">
        <ns0:v>玩家经验互斥</ns0:v>
      </ns0:c>
      <ns0:c r="D126" s="12"/>
      <ns0:c r="E126" s="12"/>
      <ns0:c r="F126" s="12"/>
      <ns0:c r="G126" s="46" t="str">
        <ns0:v>参与平台</ns0:v>
      </ns0:c>
      <ns0:c r="H126" s="13"/>
      <ns0:c r="I126" s="48" t="str">
        <ns0:v>满意度分层</ns0:v>
      </ns0:c>
      <ns0:c r="J126" s="14"/>
      <ns0:c r="K126" s="48" t="str">
        <ns0:v>上手表现分层</ns0:v>
      </ns0:c>
      <ns0:c r="L126" s="14"/>
      <ns0:c r="M126" s="48" t="str">
        <ns0:v>继续游玩分层</ns0:v>
      </ns0:c>
      <ns0:c r="N126" s="14"/>
      <ns0:c r="O126" s="48" t="str">
        <ns0:v>推荐意愿分层</ns0:v>
      </ns0:c>
      <ns0:c r="P126" s="14"/>
    </ns0:row>
    <ns0:row r="127" ht="44" customHeight="1">
      <ns0:c r="A127" s="10" t="str">
        <ns0:v>选项 / 指标</ns0:v>
      </ns0:c>
      <ns0:c r="B127" s="11" t="str">
        <ns0:v>Total</ns0:v>
      </ns0:c>
      <ns0:c r="C127" s="41" t="str">
        <ns0:v>横版动作核心 (A)</ns0:v>
      </ns0:c>
      <ns0:c r="D127" s="12" t="str">
        <ns0:v>二游ARPG (B)</ns0:v>
      </ns0:c>
      <ns0:c r="E127" s="12" t="str">
        <ns0:v>银河恶魔城 (C)</ns0:v>
      </ns0:c>
      <ns0:c r="F127" s="12" t="str">
        <ns0:v>泛用户 (D)</ns0:v>
      </ns0:c>
      <ns0:c r="G127" s="46" t="str">
        <ns0:v>移动端 (A)</ns0:v>
      </ns0:c>
      <ns0:c r="H127" s="13" t="str">
        <ns0:v>PC/主机 (B)</ns0:v>
      </ns0:c>
      <ns0:c r="I127" s="48" t="str">
        <ns0:v>高满意（4–5分） (A)</ns0:v>
      </ns0:c>
      <ns0:c r="J127" s="14" t="str">
        <ns0:v>非高满意（1–3分） (B)</ns0:v>
      </ns0:c>
      <ns0:c r="K127" s="48" t="str">
        <ns0:v>容易上手（4–5分） (A)</ns0:v>
      </ns0:c>
      <ns0:c r="L127" s="14" t="str">
        <ns0:v>非容易上手（1–3分） (B)</ns0:v>
      </ns0:c>
      <ns0:c r="M127" s="48" t="str">
        <ns0:v>高意愿（4–5分） (A)</ns0:v>
      </ns0:c>
      <ns0:c r="N127" s="14" t="str">
        <ns0:v>非高意愿（1–3分） (B)</ns0:v>
      </ns0:c>
      <ns0:c r="O127" s="48" t="str">
        <ns0:v>推荐者（9–10分） (A) ‡</ns0:v>
      </ns0:c>
      <ns0:c r="P127" s="14" t="str">
        <ns0:v>非推荐者（0–8分） (B) ‡</ns0:v>
      </ns0:c>
    </ns0:row>
    <ns0:row r="128">
      <ns0:c r="A128" s="20" t="str">
        <ns0:v>基数（n）：有效回答该题</ns0:v>
      </ns0:c>
      <ns0:c r="B128" s="21" t="n">
        <ns0:v>175</ns0:v>
      </ns0:c>
      <ns0:c r="C128" s="42" t="n">
        <ns0:v>59</ns0:v>
      </ns0:c>
      <ns0:c r="D128" s="21" t="n">
        <ns0:v>57</ns0:v>
      </ns0:c>
      <ns0:c r="E128" s="22" t="n">
        <ns0:v>23</ns0:v>
      </ns0:c>
      <ns0:c r="F128" s="21" t="n">
        <ns0:v>36</ns0:v>
      </ns0:c>
      <ns0:c r="G128" s="42" t="n">
        <ns0:v>100</ns0:v>
      </ns0:c>
      <ns0:c r="H128" s="21" t="n">
        <ns0:v>75</ns0:v>
      </ns0:c>
      <ns0:c r="I128" s="42" t="n">
        <ns0:v>89</ns0:v>
      </ns0:c>
      <ns0:c r="J128" s="21" t="n">
        <ns0:v>86</ns0:v>
      </ns0:c>
      <ns0:c r="K128" s="42" t="n">
        <ns0:v>73</ns0:v>
      </ns0:c>
      <ns0:c r="L128" s="21" t="n">
        <ns0:v>96</ns0:v>
      </ns0:c>
      <ns0:c r="M128" s="42" t="n">
        <ns0:v>57</ns0:v>
      </ns0:c>
      <ns0:c r="N128" s="21" t="n">
        <ns0:v>118</ns0:v>
      </ns0:c>
      <ns0:c r="O128" s="42" t="n">
        <ns0:v>61</ns0:v>
      </ns0:c>
      <ns0:c r="P128" s="21" t="n">
        <ns0:v>114</ns0:v>
      </ns0:c>
    </ns0:row>
    <ns0:row r="129" ht="26" customHeight="1">
      <ns0:c r="A129" s="25" t="str">
        <ns0:v>[Q8].你有多大可能向朋友推荐这款游戏？</ns0:v>
      </ns0:c>
      <ns0:c r="B129" s="25"/>
      <ns0:c r="C129" s="43"/>
      <ns0:c r="D129" s="25"/>
      <ns0:c r="E129" s="25"/>
      <ns0:c r="F129" s="25"/>
      <ns0:c r="G129" s="43"/>
      <ns0:c r="H129" s="25"/>
      <ns0:c r="I129" s="43"/>
      <ns0:c r="J129" s="25"/>
      <ns0:c r="K129" s="43"/>
      <ns0:c r="L129" s="25"/>
      <ns0:c r="M129" s="43"/>
      <ns0:c r="N129" s="25"/>
      <ns0:c r="O129" s="43"/>
      <ns0:c r="P129" s="25"/>
    </ns0:row>
    <ns0:row r="130" ht="22" customHeight="1">
      <ns0:c r="A130" s="53" t="str">
        <ns0:v>NPS ↑</ns0:v>
      </ns0:c>
      <ns0:c r="B130" s="75" t="n">
        <ns0:v>10.857142857142858</ns0:v>
      </ns0:c>
      <ns0:c r="C130" s="215" t="n">
        <ns0:v>44.06779661016949</ns0:v>
      </ns0:c>
      <ns0:c r="D130" s="201" t="n">
        <ns0:v>12.280701754385964</ns0:v>
      </ns0:c>
      <ns0:c r="E130" s="203" t="n">
        <ns0:v>13.043478260869565</ns0:v>
      </ns0:c>
      <ns0:c r="F130" s="205" t="n">
        <ns0:v>-47.22222222222222</ns0:v>
      </ns0:c>
      <ns0:c r="G130" s="81" t="n">
        <ns0:v>3</ns0:v>
      </ns0:c>
      <ns0:c r="H130" s="76" t="n">
        <ns0:v>21.333333333333336</ns0:v>
      </ns0:c>
      <ns0:c r="I130" s="216" t="n">
        <ns0:v>61.79775280898876</ns0:v>
      </ns0:c>
      <ns0:c r="J130" s="205" t="n">
        <ns0:v>-41.86046511627907</ns0:v>
      </ns0:c>
      <ns0:c r="K130" s="81" t="n">
        <ns0:v>6.8493150684931505</ns0:v>
      </ns0:c>
      <ns0:c r="L130" s="76" t="n">
        <ns0:v>12.5</ns0:v>
      </ns0:c>
      <ns0:c r="M130" s="216" t="n">
        <ns0:v>42.10526315789473</ns0:v>
      </ns0:c>
      <ns0:c r="N130" s="205" t="n">
        <ns0:v>-4.23728813559322</ns0:v>
      </ns0:c>
      <ns0:c r="O130" s="217" t="n">
        <ns0:v>100</ns0:v>
      </ns0:c>
      <ns0:c r="P130" s="212" t="n">
        <ns0:v>-36.84210526315789</ns0:v>
      </ns0:c>
    </ns0:row>
    <ns0:row r="131" ht="22" customHeight="1">
      <ns0:c r="A131" s="26" t="str">
        <ns0:v>批评者（0–6分）</ns0:v>
      </ns0:c>
      <ns0:c r="B131" s="28" t="n">
        <ns0:v>0.24</ns0:v>
      </ns0:c>
      <ns0:c r="C131" s="44" t="n">
        <ns0:v>0.11864406779661017</ns0:v>
      </ns0:c>
      <ns0:c r="D131" s="29" t="n">
        <ns0:v>0.15789473684210525</ns0:v>
      </ns0:c>
      <ns0:c r="E131" s="31" t="n">
        <ns0:v>0.21739130434782608</ns0:v>
      </ns0:c>
      <ns0:c r="F131" s="159" t="n">
        <ns0:v>0.5833333333333334</ns0:v>
      </ns0:c>
      <ns0:c r="G131" s="105" t="n">
        <ns0:v>0.29</ns0:v>
      </ns0:c>
      <ns0:c r="H131" s="96" t="n">
        <ns0:v>0.17333333333333334</ns0:v>
      </ns0:c>
      <ns0:c r="I131" s="106" t="n">
        <ns0:v>0</ns0:v>
      </ns0:c>
      <ns0:c r="J131" s="102" t="n">
        <ns0:v>0.4883720930232558</ns0:v>
      </ns0:c>
      <ns0:c r="K131" s="44" t="n">
        <ns0:v>0.2876712328767123</ns0:v>
      </ns0:c>
      <ns0:c r="L131" s="29" t="n">
        <ns0:v>0.20833333333333334</ns0:v>
      </ns0:c>
      <ns0:c r="M131" s="106" t="n">
        <ns0:v>0.15789473684210525</ns0:v>
      </ns0:c>
      <ns0:c r="N131" s="102" t="n">
        <ns0:v>0.2796610169491525</ns0:v>
      </ns0:c>
      <ns0:c r="O131" s="104" t="n">
        <ns0:v>0</ns0:v>
      </ns0:c>
      <ns0:c r="P131" s="100" t="n">
        <ns0:v>0.3684210526315789</ns0:v>
      </ns0:c>
    </ns0:row>
    <ns0:row r="132" ht="22" customHeight="1">
      <ns0:c r="A132" s="26" t="str">
        <ns0:v>中立者（7–8分）</ns0:v>
      </ns0:c>
      <ns0:c r="B132" s="28" t="n">
        <ns0:v>0.4114285714285714</ns0:v>
      </ns0:c>
      <ns0:c r="C132" s="44" t="n">
        <ns0:v>0.3220338983050847</ns0:v>
      </ns0:c>
      <ns0:c r="D132" s="214" t="n">
        <ns0:v>0.5614035087719298</ns0:v>
      </ns0:c>
      <ns0:c r="E132" s="31" t="n">
        <ns0:v>0.43478260869565216</ns0:v>
      </ns0:c>
      <ns0:c r="F132" s="29" t="n">
        <ns0:v>0.3055555555555556</ns0:v>
      </ns0:c>
      <ns0:c r="G132" s="44" t="n">
        <ns0:v>0.39</ns0:v>
      </ns0:c>
      <ns0:c r="H132" s="29" t="n">
        <ns0:v>0.44</ns0:v>
      </ns0:c>
      <ns0:c r="I132" s="44" t="n">
        <ns0:v>0.38202247191011235</ns0:v>
      </ns0:c>
      <ns0:c r="J132" s="29" t="n">
        <ns0:v>0.4418604651162791</ns0:v>
      </ns0:c>
      <ns0:c r="K132" s="44" t="n">
        <ns0:v>0.3561643835616438</ns0:v>
      </ns0:c>
      <ns0:c r="L132" s="29" t="n">
        <ns0:v>0.4583333333333333</ns0:v>
      </ns0:c>
      <ns0:c r="M132" s="106" t="n">
        <ns0:v>0.2631578947368421</ns0:v>
      </ns0:c>
      <ns0:c r="N132" s="102" t="n">
        <ns0:v>0.4830508474576271</ns0:v>
      </ns0:c>
      <ns0:c r="O132" s="104" t="n">
        <ns0:v>0</ns0:v>
      </ns0:c>
      <ns0:c r="P132" s="100" t="n">
        <ns0:v>0.631578947368421</ns0:v>
      </ns0:c>
    </ns0:row>
    <ns0:row r="133" ht="22" customHeight="1">
      <ns0:c r="A133" s="26" t="str">
        <ns0:v>推荐者（9–10分）</ns0:v>
      </ns0:c>
      <ns0:c r="B133" s="28" t="n">
        <ns0:v>0.3485714285714286</ns0:v>
      </ns0:c>
      <ns0:c r="C133" s="189" t="n">
        <ns0:v>0.559322033898305</ns0:v>
      </ns0:c>
      <ns0:c r="D133" s="161" t="n">
        <ns0:v>0.2807017543859649</ns0:v>
      </ns0:c>
      <ns0:c r="E133" s="163" t="n">
        <ns0:v>0.34782608695652173</ns0:v>
      </ns0:c>
      <ns0:c r="F133" s="96" t="n">
        <ns0:v>0.1111111111111111</ns0:v>
      </ns0:c>
      <ns0:c r="G133" s="44" t="n">
        <ns0:v>0.32</ns0:v>
      </ns0:c>
      <ns0:c r="H133" s="29" t="n">
        <ns0:v>0.38666666666666666</ns0:v>
      </ns0:c>
      <ns0:c r="I133" s="105" t="n">
        <ns0:v>0.6179775280898876</ns0:v>
      </ns0:c>
      <ns0:c r="J133" s="96" t="n">
        <ns0:v>0.06976744186046512</ns0:v>
      </ns0:c>
      <ns0:c r="K133" s="44" t="n">
        <ns0:v>0.3561643835616438</ns0:v>
      </ns0:c>
      <ns0:c r="L133" s="29" t="n">
        <ns0:v>0.3333333333333333</ns0:v>
      </ns0:c>
      <ns0:c r="M133" s="105" t="n">
        <ns0:v>0.5789473684210527</ns0:v>
      </ns0:c>
      <ns0:c r="N133" s="96" t="n">
        <ns0:v>0.23728813559322035</ns0:v>
      </ns0:c>
      <ns0:c r="O133" s="103" t="n">
        <ns0:v>1</ns0:v>
      </ns0:c>
      <ns0:c r="P133" s="92" t="n">
        <ns0:v>0</ns0:v>
      </ns0:c>
    </ns0:row>
    <ns0:row r="134" ht="24" customHeight="1">
      <ns0:c r="A134" s="39" t="str">
        <ns0:v>Total</ns0:v>
      </ns0:c>
      <ns0:c r="B134" s="40" t="n">
        <ns0:f>SUM('体验问卷大表'!B131,'体验问卷大表'!B132,'体验问卷大表'!B133)</ns0:f>
        <ns0:v>1</ns0:v>
      </ns0:c>
      <ns0:c r="C134" s="45" t="n">
        <ns0:f>SUM('体验问卷大表'!C131,'体验问卷大表'!C132,'体验问卷大表'!C133)</ns0:f>
        <ns0:v>1</ns0:v>
      </ns0:c>
      <ns0:c r="D134" s="40" t="n">
        <ns0:f>SUM('体验问卷大表'!D131,'体验问卷大表'!D132,'体验问卷大表'!D133)</ns0:f>
        <ns0:v>1</ns0:v>
      </ns0:c>
      <ns0:c r="E134" s="40" t="n">
        <ns0:f>SUM('体验问卷大表'!E131,'体验问卷大表'!E132,'体验问卷大表'!E133)</ns0:f>
        <ns0:v>1</ns0:v>
      </ns0:c>
      <ns0:c r="F134" s="40" t="n">
        <ns0:f>SUM('体验问卷大表'!F131,'体验问卷大表'!F132,'体验问卷大表'!F133)</ns0:f>
        <ns0:v>1</ns0:v>
      </ns0:c>
      <ns0:c r="G134" s="45" t="n">
        <ns0:f>SUM('体验问卷大表'!G131,'体验问卷大表'!G132,'体验问卷大表'!G133)</ns0:f>
        <ns0:v>1</ns0:v>
      </ns0:c>
      <ns0:c r="H134" s="40" t="n">
        <ns0:f>SUM('体验问卷大表'!H131,'体验问卷大表'!H132,'体验问卷大表'!H133)</ns0:f>
        <ns0:v>1</ns0:v>
      </ns0:c>
      <ns0:c r="I134" s="45" t="n">
        <ns0:f>SUM('体验问卷大表'!I131,'体验问卷大表'!I132,'体验问卷大表'!I133)</ns0:f>
        <ns0:v>1</ns0:v>
      </ns0:c>
      <ns0:c r="J134" s="40" t="n">
        <ns0:f>SUM('体验问卷大表'!J131,'体验问卷大表'!J132,'体验问卷大表'!J133)</ns0:f>
        <ns0:v>1</ns0:v>
      </ns0:c>
      <ns0:c r="K134" s="45" t="n">
        <ns0:f>SUM('体验问卷大表'!K131,'体验问卷大表'!K132,'体验问卷大表'!K133)</ns0:f>
        <ns0:v>0.9999999999999999</ns0:v>
      </ns0:c>
      <ns0:c r="L134" s="40" t="n">
        <ns0:f>SUM('体验问卷大表'!L131,'体验问卷大表'!L132,'体验问卷大表'!L133)</ns0:f>
        <ns0:v>1</ns0:v>
      </ns0:c>
      <ns0:c r="M134" s="45" t="n">
        <ns0:f>SUM('体验问卷大表'!M131,'体验问卷大表'!M132,'体验问卷大表'!M133)</ns0:f>
        <ns0:v>1</ns0:v>
      </ns0:c>
      <ns0:c r="N134" s="40" t="n">
        <ns0:f>SUM('体验问卷大表'!N131,'体验问卷大表'!N132,'体验问卷大表'!N133)</ns0:f>
        <ns0:v>1</ns0:v>
      </ns0:c>
      <ns0:c r="O134" s="45" t="n">
        <ns0:f>SUM('体验问卷大表'!O131,'体验问卷大表'!O132,'体验问卷大表'!O133)</ns0:f>
        <ns0:v>1</ns0:v>
      </ns0:c>
      <ns0:c r="P134" s="40" t="n">
        <ns0:f>SUM('体验问卷大表'!P131,'体验问卷大表'!P132,'体验问卷大表'!P133)</ns0:f>
        <ns0:v>1</ns0:v>
      </ns0:c>
    </ns0:row>
    <ns0:row r="137" ht="24" customHeight="1">
      <ns0:c r="A137" s="17" t="str">
        <ns0:v>优化优先级</ns0:v>
      </ns0:c>
      <ns0:c r="B137" s="18" t="str">
        <ns0:v>返回目录</ns0:v>
      </ns0:c>
      <ns0:c r="C137" s="17"/>
      <ns0:c r="D137" s="17"/>
      <ns0:c r="E137" s="17"/>
      <ns0:c r="F137" s="17"/>
      <ns0:c r="G137" s="17"/>
      <ns0:c r="H137" s="17"/>
      <ns0:c r="I137" s="17"/>
      <ns0:c r="J137" s="17"/>
      <ns0:c r="K137" s="17"/>
      <ns0:c r="L137" s="17"/>
      <ns0:c r="M137" s="17"/>
      <ns0:c r="N137" s="17"/>
      <ns0:c r="O137" s="17"/>
      <ns0:c r="P137" s="17"/>
    </ns0:row>
    <ns0:row r="138" ht="22" customHeight="1">
      <ns0:c r="A138" s="10" t="str">
        <ns0:v>分组族</ns0:v>
      </ns0:c>
      <ns0:c r="B138" s="11" t="str">
        <ns0:v>总体</ns0:v>
      </ns0:c>
      <ns0:c r="C138" s="41" t="str">
        <ns0:v>玩家经验互斥</ns0:v>
      </ns0:c>
      <ns0:c r="D138" s="12"/>
      <ns0:c r="E138" s="12"/>
      <ns0:c r="F138" s="12"/>
      <ns0:c r="G138" s="46" t="str">
        <ns0:v>参与平台</ns0:v>
      </ns0:c>
      <ns0:c r="H138" s="13"/>
      <ns0:c r="I138" s="48" t="str">
        <ns0:v>满意度分层</ns0:v>
      </ns0:c>
      <ns0:c r="J138" s="14"/>
      <ns0:c r="K138" s="48" t="str">
        <ns0:v>上手表现分层</ns0:v>
      </ns0:c>
      <ns0:c r="L138" s="14"/>
      <ns0:c r="M138" s="48" t="str">
        <ns0:v>继续游玩分层</ns0:v>
      </ns0:c>
      <ns0:c r="N138" s="14"/>
      <ns0:c r="O138" s="48" t="str">
        <ns0:v>推荐意愿分层</ns0:v>
      </ns0:c>
      <ns0:c r="P138" s="14"/>
    </ns0:row>
    <ns0:row r="139" ht="44" customHeight="1">
      <ns0:c r="A139" s="10" t="str">
        <ns0:v>选项 / 指标</ns0:v>
      </ns0:c>
      <ns0:c r="B139" s="11" t="str">
        <ns0:v>Total</ns0:v>
      </ns0:c>
      <ns0:c r="C139" s="41" t="str">
        <ns0:v>横版动作核心 (A)</ns0:v>
      </ns0:c>
      <ns0:c r="D139" s="12" t="str">
        <ns0:v>二游ARPG (B)</ns0:v>
      </ns0:c>
      <ns0:c r="E139" s="12" t="str">
        <ns0:v>银河恶魔城 (C)</ns0:v>
      </ns0:c>
      <ns0:c r="F139" s="12" t="str">
        <ns0:v>泛用户 (D)</ns0:v>
      </ns0:c>
      <ns0:c r="G139" s="46" t="str">
        <ns0:v>移动端 (A)</ns0:v>
      </ns0:c>
      <ns0:c r="H139" s="13" t="str">
        <ns0:v>PC/主机 (B)</ns0:v>
      </ns0:c>
      <ns0:c r="I139" s="48" t="str">
        <ns0:v>高满意（4–5分） (A)</ns0:v>
      </ns0:c>
      <ns0:c r="J139" s="14" t="str">
        <ns0:v>非高满意（1–3分） (B)</ns0:v>
      </ns0:c>
      <ns0:c r="K139" s="48" t="str">
        <ns0:v>容易上手（4–5分） (A)</ns0:v>
      </ns0:c>
      <ns0:c r="L139" s="14" t="str">
        <ns0:v>非容易上手（1–3分） (B)</ns0:v>
      </ns0:c>
      <ns0:c r="M139" s="48" t="str">
        <ns0:v>高意愿（4–5分） (A)</ns0:v>
      </ns0:c>
      <ns0:c r="N139" s="14" t="str">
        <ns0:v>非高意愿（1–3分） (B)</ns0:v>
      </ns0:c>
      <ns0:c r="O139" s="48" t="str">
        <ns0:v>推荐者（9–10分） (A)</ns0:v>
      </ns0:c>
      <ns0:c r="P139" s="14" t="str">
        <ns0:v>非推荐者（0–8分） (B)</ns0:v>
      </ns0:c>
    </ns0:row>
    <ns0:row r="140">
      <ns0:c r="A140" s="20" t="str">
        <ns0:v>基数（n）：有效回答该题</ns0:v>
      </ns0:c>
      <ns0:c r="B140" s="21" t="n">
        <ns0:v>180</ns0:v>
      </ns0:c>
      <ns0:c r="C140" s="42" t="n">
        <ns0:v>61</ns0:v>
      </ns0:c>
      <ns0:c r="D140" s="21" t="n">
        <ns0:v>57</ns0:v>
      </ns0:c>
      <ns0:c r="E140" s="22" t="n">
        <ns0:v>25</ns0:v>
      </ns0:c>
      <ns0:c r="F140" s="21" t="n">
        <ns0:v>37</ns0:v>
      </ns0:c>
      <ns0:c r="G140" s="42" t="n">
        <ns0:v>101</ns0:v>
      </ns0:c>
      <ns0:c r="H140" s="21" t="n">
        <ns0:v>79</ns0:v>
      </ns0:c>
      <ns0:c r="I140" s="42" t="n">
        <ns0:v>91</ns0:v>
      </ns0:c>
      <ns0:c r="J140" s="21" t="n">
        <ns0:v>89</ns0:v>
      </ns0:c>
      <ns0:c r="K140" s="42" t="n">
        <ns0:v>75</ns0:v>
      </ns0:c>
      <ns0:c r="L140" s="21" t="n">
        <ns0:v>99</ns0:v>
      </ns0:c>
      <ns0:c r="M140" s="42" t="n">
        <ns0:v>58</ns0:v>
      </ns0:c>
      <ns0:c r="N140" s="21" t="n">
        <ns0:v>122</ns0:v>
      </ns0:c>
      <ns0:c r="O140" s="42" t="n">
        <ns0:v>61</ns0:v>
      </ns0:c>
      <ns0:c r="P140" s="21" t="n">
        <ns0:v>114</ns0:v>
      </ns0:c>
    </ns0:row>
    <ns0:row r="141" ht="26" customHeight="1">
      <ns0:c r="A141" s="25" t="str">
        <ns0:v>[Q9].请选出最希望优先优化的三项并排序。</ns0:v>
      </ns0:c>
      <ns0:c r="B141" s="25"/>
      <ns0:c r="C141" s="43"/>
      <ns0:c r="D141" s="25"/>
      <ns0:c r="E141" s="25"/>
      <ns0:c r="F141" s="25"/>
      <ns0:c r="G141" s="43"/>
      <ns0:c r="H141" s="25"/>
      <ns0:c r="I141" s="43"/>
      <ns0:c r="J141" s="25"/>
      <ns0:c r="K141" s="43"/>
      <ns0:c r="L141" s="25"/>
      <ns0:c r="M141" s="43"/>
      <ns0:c r="N141" s="25"/>
      <ns0:c r="O141" s="43"/>
      <ns0:c r="P141" s="25"/>
    </ns0:row>
    <ns0:row r="142" ht="22" customHeight="1">
      <ns0:c r="A142" s="26" t="str">
        <ns0:v>新手引导</ns0:v>
      </ns0:c>
      <ns0:c r="B142" s="28" t="n">
        <ns0:v>0.8277777777777777</ns0:v>
      </ns0:c>
      <ns0:c r="C142" s="44" t="n">
        <ns0:v>0.7213114754098361</ns0:v>
      </ns0:c>
      <ns0:c r="D142" s="102" t="n">
        <ns0:v>0.9122807017543859</ns0:v>
      </ns0:c>
      <ns0:c r="E142" s="31" t="n">
        <ns0:v>0.8</ns0:v>
      </ns0:c>
      <ns0:c r="F142" s="102" t="n">
        <ns0:v>0.8918918918918919</ns0:v>
      </ns0:c>
      <ns0:c r="G142" s="106" t="n">
        <ns0:v>0.7722772277227723</ns0:v>
      </ns0:c>
      <ns0:c r="H142" s="102" t="n">
        <ns0:v>0.8987341772151899</ns0:v>
      </ns0:c>
      <ns0:c r="I142" s="105" t="n">
        <ns0:v>0.9120879120879121</ns0:v>
      </ns0:c>
      <ns0:c r="J142" s="96" t="n">
        <ns0:v>0.7415730337078652</ns0:v>
      </ns0:c>
      <ns0:c r="K142" s="106" t="n">
        <ns0:v>0.5866666666666667</ns0:v>
      </ns0:c>
      <ns0:c r="L142" s="102" t="n">
        <ns0:v>1</ns0:v>
      </ns0:c>
      <ns0:c r="M142" s="44" t="n">
        <ns0:v>0.8448275862068966</ns0:v>
      </ns0:c>
      <ns0:c r="N142" s="29" t="n">
        <ns0:v>0.819672131147541</ns0:v>
      </ns0:c>
      <ns0:c r="O142" s="105" t="n">
        <ns0:v>0.9344262295081968</ns0:v>
      </ns0:c>
      <ns0:c r="P142" s="96" t="n">
        <ns0:v>0.7719298245614035</ns0:v>
      </ns0:c>
    </ns0:row>
    <ns0:row r="143" ht="22" customHeight="1">
      <ns0:c r="A143" s="53" t="str">
        <ns0:v>新手引导（平均名次） ↓</ns0:v>
      </ns0:c>
      <ns0:c r="B143" s="56" t="n">
        <ns0:v>1.5906040268456376</ns0:v>
      </ns0:c>
      <ns0:c r="C143" s="230" t="n">
        <ns0:v>1.6818181818181819</ns0:v>
      </ns0:c>
      <ns0:c r="D143" s="219" t="n">
        <ns0:v>1.5769230769230769</ns0:v>
      </ns0:c>
      <ns0:c r="E143" s="221" t="n">
        <ns0:v>1.1</ns0:v>
      </ns0:c>
      <ns0:c r="F143" s="219" t="n">
        <ns0:v>1.7878787878787878</ns0:v>
      </ns0:c>
      <ns0:c r="G143" s="69" t="n">
        <ns0:v>1.6666666666666667</ns0:v>
      </ns0:c>
      <ns0:c r="H143" s="57" t="n">
        <ns0:v>1.5070422535211268</ns0:v>
      </ns0:c>
      <ns0:c r="I143" s="170" t="n">
        <ns0:v>1.3734939759036144</ns0:v>
      </ns0:c>
      <ns0:c r="J143" s="127" t="n">
        <ns0:v>1.8636363636363635</ns0:v>
      </ns0:c>
      <ns0:c r="K143" s="175" t="n">
        <ns0:v>2.1136363636363638</ns0:v>
      </ns0:c>
      <ns0:c r="L143" s="125" t="n">
        <ns0:v>1.3333333333333333</ns0:v>
      </ns0:c>
      <ns0:c r="M143" s="69" t="n">
        <ns0:v>1.510204081632653</ns0:v>
      </ns0:c>
      <ns0:c r="N143" s="57" t="n">
        <ns0:v>1.63</ns0:v>
      </ns0:c>
      <ns0:c r="O143" s="69" t="n">
        <ns0:v>1.4912280701754386</ns0:v>
      </ns0:c>
      <ns0:c r="P143" s="57" t="n">
        <ns0:v>1.6704545454545454</ns0:v>
      </ns0:c>
    </ns0:row>
    <ns0:row r="144" ht="22" customHeight="1">
      <ns0:c r="A144" s="26" t="str">
        <ns0:v>战斗反馈</ns0:v>
      </ns0:c>
      <ns0:c r="B144" s="28" t="n">
        <ns0:v>0.8444444444444444</ns0:v>
      </ns0:c>
      <ns0:c r="C144" s="44" t="n">
        <ns0:v>0.8032786885245902</ns0:v>
      </ns0:c>
      <ns0:c r="D144" s="223" t="n">
        <ns0:v>0.9122807017543859</ns0:v>
      </ns0:c>
      <ns0:c r="E144" s="31" t="n">
        <ns0:v>0.72</ns0:v>
      </ns0:c>
      <ns0:c r="F144" s="87" t="n">
        <ns0:v>0.8918918918918919</ns0:v>
      </ns0:c>
      <ns0:c r="G144" s="44" t="n">
        <ns0:v>0.8811881188118812</ns0:v>
      </ns0:c>
      <ns0:c r="H144" s="29" t="n">
        <ns0:v>0.7974683544303798</ns0:v>
      </ns0:c>
      <ns0:c r="I144" s="44" t="n">
        <ns0:v>0.8241758241758241</ns0:v>
      </ns0:c>
      <ns0:c r="J144" s="29" t="n">
        <ns0:v>0.8651685393258427</ns0:v>
      </ns0:c>
      <ns0:c r="K144" s="105" t="n">
        <ns0:v>0.9066666666666666</ns0:v>
      </ns0:c>
      <ns0:c r="L144" s="96" t="n">
        <ns0:v>0.8080808080808081</ns0:v>
      </ns0:c>
      <ns0:c r="M144" s="44" t="n">
        <ns0:v>0.8275862068965517</ns0:v>
      </ns0:c>
      <ns0:c r="N144" s="29" t="n">
        <ns0:v>0.8524590163934426</ns0:v>
      </ns0:c>
      <ns0:c r="O144" s="44" t="n">
        <ns0:v>0.8032786885245902</ns0:v>
      </ns0:c>
      <ns0:c r="P144" s="29" t="n">
        <ns0:v>0.868421052631579</ns0:v>
      </ns0:c>
    </ns0:row>
    <ns0:row r="145" ht="22" customHeight="1">
      <ns0:c r="A145" s="53" t="str">
        <ns0:v>战斗反馈（平均名次） ↓</ns0:v>
      </ns0:c>
      <ns0:c r="B145" s="56" t="n">
        <ns0:v>1.881578947368421</ns0:v>
      </ns0:c>
      <ns0:c r="C145" s="69" t="n">
        <ns0:v>1.9183673469387754</ns0:v>
      </ns0:c>
      <ns0:c r="D145" s="57" t="n">
        <ns0:v>1.9423076923076923</ns0:v>
      </ns0:c>
      <ns0:c r="E145" s="59" t="n">
        <ns0:v>1.8333333333333333</ns0:v>
      </ns0:c>
      <ns0:c r="F145" s="57" t="n">
        <ns0:v>1.7575757575757576</ns0:v>
      </ns0:c>
      <ns0:c r="G145" s="69" t="n">
        <ns0:v>1.8876404494382022</ns0:v>
      </ns0:c>
      <ns0:c r="H145" s="57" t="n">
        <ns0:v>1.873015873015873</ns0:v>
      </ns0:c>
      <ns0:c r="I145" s="175" t="n">
        <ns0:v>2.1066666666666665</ns0:v>
      </ns0:c>
      <ns0:c r="J145" s="125" t="n">
        <ns0:v>1.6623376623376624</ns0:v>
      </ns0:c>
      <ns0:c r="K145" s="170" t="n">
        <ns0:v>1.6176470588235294</ns0:v>
      </ns0:c>
      <ns0:c r="L145" s="127" t="n">
        <ns0:v>2.125</ns0:v>
      </ns0:c>
      <ns0:c r="M145" s="69" t="n">
        <ns0:v>1.9791666666666667</ns0:v>
      </ns0:c>
      <ns0:c r="N145" s="57" t="n">
        <ns0:v>1.8365384615384615</ns0:v>
      </ns0:c>
      <ns0:c r="O145" s="175" t="n">
        <ns0:v>2.0816326530612246</ns0:v>
      </ns0:c>
      <ns0:c r="P145" s="125" t="n">
        <ns0:v>1.7878787878787878</ns0:v>
      </ns0:c>
    </ns0:row>
    <ns0:row r="146" ht="22" customHeight="1">
      <ns0:c r="A146" s="26" t="str">
        <ns0:v>关卡节奏</ns0:v>
      </ns0:c>
      <ns0:c r="B146" s="28" t="n">
        <ns0:v>0.7166666666666667</ns0:v>
      </ns0:c>
      <ns0:c r="C146" s="44" t="n">
        <ns0:v>0.7213114754098361</ns0:v>
      </ns0:c>
      <ns0:c r="D146" s="29" t="n">
        <ns0:v>0.7017543859649122</ns0:v>
      </ns0:c>
      <ns0:c r="E146" s="31" t="n">
        <ns0:v>0.56</ns0:v>
      </ns0:c>
      <ns0:c r="F146" s="87" t="n">
        <ns0:v>0.8378378378378378</ns0:v>
      </ns0:c>
      <ns0:c r="G146" s="44" t="n">
        <ns0:v>0.7623762376237624</ns0:v>
      </ns0:c>
      <ns0:c r="H146" s="29" t="n">
        <ns0:v>0.6582278481012658</ns0:v>
      </ns0:c>
      <ns0:c r="I146" s="106" t="n">
        <ns0:v>0.5934065934065934</ns0:v>
      </ns0:c>
      <ns0:c r="J146" s="102" t="n">
        <ns0:v>0.8426966292134831</ns0:v>
      </ns0:c>
      <ns0:c r="K146" s="44" t="n">
        <ns0:v>0.7066666666666667</ns0:v>
      </ns0:c>
      <ns0:c r="L146" s="29" t="n">
        <ns0:v>0.7373737373737373</ns0:v>
      </ns0:c>
      <ns0:c r="M146" s="44" t="n">
        <ns0:v>0.6379310344827587</ns0:v>
      </ns0:c>
      <ns0:c r="N146" s="29" t="n">
        <ns0:v>0.7540983606557377</ns0:v>
      </ns0:c>
      <ns0:c r="O146" s="106" t="n">
        <ns0:v>0.6065573770491803</ns0:v>
      </ns0:c>
      <ns0:c r="P146" s="102" t="n">
        <ns0:v>0.7807017543859649</ns0:v>
      </ns0:c>
    </ns0:row>
    <ns0:row r="147" ht="22" customHeight="1">
      <ns0:c r="A147" s="53" t="str">
        <ns0:v>关卡节奏（平均名次） ↓</ns0:v>
      </ns0:c>
      <ns0:c r="B147" s="56" t="n">
        <ns0:v>2.10077519379845</ns0:v>
      </ns0:c>
      <ns0:c r="C147" s="69" t="n">
        <ns0:v>1.8636363636363635</ns0:v>
      </ns0:c>
      <ns0:c r="D147" s="127" t="n">
        <ns0:v>2.275</ns0:v>
      </ns0:c>
      <ns0:c r="E147" s="59" t="n">
        <ns0:v>2.0714285714285716</ns0:v>
      </ns0:c>
      <ns0:c r="F147" s="127" t="n">
        <ns0:v>2.225806451612903</ns0:v>
      </ns0:c>
      <ns0:c r="G147" s="170" t="n">
        <ns0:v>1.9870129870129871</ns0:v>
      </ns0:c>
      <ns0:c r="H147" s="127" t="n">
        <ns0:v>2.269230769230769</ns0:v>
      </ns0:c>
      <ns0:c r="I147" s="69" t="n">
        <ns0:v>2.2222222222222223</ns0:v>
      </ns0:c>
      <ns0:c r="J147" s="57" t="n">
        <ns0:v>2.013333333333333</ns0:v>
      </ns0:c>
      <ns0:c r="K147" s="170" t="n">
        <ns0:v>1.8113207547169812</ns0:v>
      </ns0:c>
      <ns0:c r="L147" s="127" t="n">
        <ns0:v>2.315068493150685</ns0:v>
      </ns0:c>
      <ns0:c r="M147" s="69" t="n">
        <ns0:v>2.054054054054054</ns0:v>
      </ns0:c>
      <ns0:c r="N147" s="57" t="n">
        <ns0:v>2.119565217391304</ns0:v>
      </ns0:c>
      <ns0:c r="O147" s="69" t="n">
        <ns0:v>2.189189189189189</ns0:v>
      </ns0:c>
      <ns0:c r="P147" s="57" t="n">
        <ns0:v>2.067415730337079</ns0:v>
      </ns0:c>
    </ns0:row>
    <ns0:row r="148" ht="22" customHeight="1">
      <ns0:c r="A148" s="26" t="str">
        <ns0:v>剧情演出</ns0:v>
      </ns0:c>
      <ns0:c r="B148" s="28" t="n">
        <ns0:v>0.5222222222222223</ns0:v>
      </ns0:c>
      <ns0:c r="C148" s="168" t="n">
        <ns0:v>0.5737704918032787</ns0:v>
      </ns0:c>
      <ns0:c r="D148" s="29" t="n">
        <ns0:v>0.45614035087719296</ns0:v>
      </ns0:c>
      <ns0:c r="E148" s="98" t="n">
        <ns0:v>0.76</ns0:v>
      </ns0:c>
      <ns0:c r="F148" s="29" t="n">
        <ns0:v>0.3783783783783784</ns0:v>
      </ns0:c>
      <ns0:c r="G148" s="44" t="n">
        <ns0:v>0.5346534653465347</ns0:v>
      </ns0:c>
      <ns0:c r="H148" s="29" t="n">
        <ns0:v>0.5063291139240507</ns0:v>
      </ns0:c>
      <ns0:c r="I148" s="44" t="n">
        <ns0:v>0.4945054945054945</ns0:v>
      </ns0:c>
      <ns0:c r="J148" s="29" t="n">
        <ns0:v>0.550561797752809</ns0:v>
      </ns0:c>
      <ns0:c r="K148" s="105" t="n">
        <ns0:v>0.7066666666666667</ns0:v>
      </ns0:c>
      <ns0:c r="L148" s="96" t="n">
        <ns0:v>0.3838383838383838</ns0:v>
      </ns0:c>
      <ns0:c r="M148" s="44" t="n">
        <ns0:v>0.5172413793103449</ns0:v>
      </ns0:c>
      <ns0:c r="N148" s="29" t="n">
        <ns0:v>0.5245901639344263</ns0:v>
      </ns0:c>
      <ns0:c r="O148" s="44" t="n">
        <ns0:v>0.45901639344262296</ns0:v>
      </ns0:c>
      <ns0:c r="P148" s="29" t="n">
        <ns0:v>0.543859649122807</ns0:v>
      </ns0:c>
    </ns0:row>
    <ns0:row r="149" ht="22" customHeight="1">
      <ns0:c r="A149" s="53" t="str">
        <ns0:v>剧情演出（平均名次） ↓</ns0:v>
      </ns0:c>
      <ns0:c r="B149" s="56" t="n">
        <ns0:v>2.595744680851064</ns0:v>
      </ns0:c>
      <ns0:c r="C149" s="69" t="n">
        <ns0:v>2.5142857142857142</ns0:v>
      </ns0:c>
      <ns0:c r="D149" s="59" t="n">
        <ns0:v>2.5384615384615383</ns0:v>
      </ns0:c>
      <ns0:c r="E149" s="225" t="n">
        <ns0:v>2.8421052631578947</ns0:v>
      </ns0:c>
      <ns0:c r="F149" s="59" t="n">
        <ns0:v>2.5714285714285716</ns0:v>
      </ns0:c>
      <ns0:c r="G149" s="69" t="n">
        <ns0:v>2.5925925925925926</ns0:v>
      </ns0:c>
      <ns0:c r="H149" s="57" t="n">
        <ns0:v>2.6</ns0:v>
      </ns0:c>
      <ns0:c r="I149" s="69" t="n">
        <ns0:v>2.488888888888889</ns0:v>
      </ns0:c>
      <ns0:c r="J149" s="57" t="n">
        <ns0:v>2.693877551020408</ns0:v>
      </ns0:c>
      <ns0:c r="K149" s="170" t="n">
        <ns0:v>2.509433962264151</ns0:v>
      </ns0:c>
      <ns0:c r="L149" s="127" t="n">
        <ns0:v>2.763157894736842</ns0:v>
      </ns0:c>
      <ns0:c r="M149" s="69" t="n">
        <ns0:v>2.533333333333333</ns0:v>
      </ns0:c>
      <ns0:c r="N149" s="57" t="n">
        <ns0:v>2.625</ns0:v>
      </ns0:c>
      <ns0:c r="O149" s="231" t="n">
        <ns0:v>2.357142857142857</ns0:v>
      </ns0:c>
      <ns0:c r="P149" s="127" t="n">
        <ns0:v>2.6774193548387095</ns0:v>
      </ns0:c>
    </ns0:row>
    <ns0:row r="150" ht="22" customHeight="1">
      <ns0:c r="A150" s="26" t="str">
        <ns0:v>性能优化</ns0:v>
      </ns0:c>
      <ns0:c r="B150" s="28" t="n">
        <ns0:v>0.08888888888888889</ns0:v>
      </ns0:c>
      <ns0:c r="C150" s="169" t="n">
        <ns0:v>0.18032786885245902</ns0:v>
      </ns0:c>
      <ns0:c r="D150" s="29" t="n">
        <ns0:v>0.017543859649122806</ns0:v>
      </ns0:c>
      <ns0:c r="E150" s="98" t="n">
        <ns0:v>0.16</ns0:v>
      </ns0:c>
      <ns0:c r="F150" s="29" t="n">
        <ns0:v>0</ns0:v>
      </ns0:c>
      <ns0:c r="G150" s="106" t="n">
        <ns0:v>0.04950495049504951</ns0:v>
      </ns0:c>
      <ns0:c r="H150" s="102" t="n">
        <ns0:v>0.13924050632911392</ns0:v>
      </ns0:c>
      <ns0:c r="I150" s="105" t="n">
        <ns0:v>0.17582417582417584</ns0:v>
      </ns0:c>
      <ns0:c r="J150" s="96" t="n">
        <ns0:v>0</ns0:v>
      </ns0:c>
      <ns0:c r="K150" s="44" t="n">
        <ns0:v>0.09333333333333334</ns0:v>
      </ns0:c>
      <ns0:c r="L150" s="29" t="n">
        <ns0:v>0.0707070707070707</ns0:v>
      </ns0:c>
      <ns0:c r="M150" s="105" t="n">
        <ns0:v>0.1724137931034483</ns0:v>
      </ns0:c>
      <ns0:c r="N150" s="96" t="n">
        <ns0:v>0.04918032786885246</ns0:v>
      </ns0:c>
      <ns0:c r="O150" s="105" t="n">
        <ns0:v>0.19672131147540983</ns0:v>
      </ns0:c>
      <ns0:c r="P150" s="96" t="n">
        <ns0:v>0.03508771929824561</ns0:v>
      </ns0:c>
    </ns0:row>
    <ns0:row r="151" ht="22" customHeight="1">
      <ns0:c r="A151" s="53" t="str">
        <ns0:v>性能优化（平均名次） ↓</ns0:v>
      </ns0:c>
      <ns0:c r="B151" s="82" t="n">
        <ns0:v>2.625</ns0:v>
      </ns0:c>
      <ns0:c r="C151" s="231" t="n">
        <ns0:v>2.5454545454545454</ns0:v>
      </ns0:c>
      <ns0:c r="D151" s="59" t="n">
        <ns0:v>2</ns0:v>
      </ns0:c>
      <ns0:c r="E151" s="227" t="n">
        <ns0:v>3</ns0:v>
      </ns0:c>
      <ns0:c r="F151" s="54" t="str">
        <ns0:v>—</ns0:v>
      </ns0:c>
      <ns0:c r="G151" s="232" t="n">
        <ns0:v>3</ns0:v>
      </ns0:c>
      <ns0:c r="H151" s="221" t="n">
        <ns0:v>2.4545454545454546</ns0:v>
      </ns0:c>
      <ns0:c r="I151" s="83" t="n">
        <ns0:v>2.625</ns0:v>
      </ns0:c>
      <ns0:c r="J151" s="54" t="str">
        <ns0:v>—</ns0:v>
      </ns0:c>
      <ns0:c r="K151" s="83" t="n">
        <ns0:v>2.5714285714285716</ns0:v>
      </ns0:c>
      <ns0:c r="L151" s="59" t="n">
        <ns0:v>2.5714285714285716</ns0:v>
      </ns0:c>
      <ns0:c r="M151" s="83" t="n">
        <ns0:v>2.7</ns0:v>
      </ns0:c>
      <ns0:c r="N151" s="59" t="n">
        <ns0:v>2.5</ns0:v>
      </ns0:c>
      <ns0:c r="O151" s="83" t="n">
        <ns0:v>2.6666666666666665</ns0:v>
      </ns0:c>
      <ns0:c r="P151" s="59" t="n">
        <ns0:v>2.5</ns0:v>
      </ns0:c>
    </ns0:row>
    <ns0:row r="152" ht="24" customHeight="1">
      <ns0:c r="A152" s="39" t="str">
        <ns0:v>选择率合计（可超过100%）</ns0:v>
      </ns0:c>
      <ns0:c r="B152" s="40" t="n">
        <ns0:f>SUM('体验问卷大表'!B142,'体验问卷大表'!B144,'体验问卷大表'!B146,'体验问卷大表'!B148,'体验问卷大表'!B150)</ns0:f>
        <ns0:v>3</ns0:v>
      </ns0:c>
      <ns0:c r="C152" s="45" t="n">
        <ns0:f>SUM('体验问卷大表'!C142,'体验问卷大表'!C144,'体验问卷大表'!C146,'体验问卷大表'!C148,'体验问卷大表'!C150)</ns0:f>
        <ns0:v>3</ns0:v>
      </ns0:c>
      <ns0:c r="D152" s="40" t="n">
        <ns0:f>SUM('体验问卷大表'!D142,'体验问卷大表'!D144,'体验问卷大表'!D146,'体验问卷大表'!D148,'体验问卷大表'!D150)</ns0:f>
        <ns0:v>3</ns0:v>
      </ns0:c>
      <ns0:c r="E152" s="40" t="n">
        <ns0:f>SUM('体验问卷大表'!E142,'体验问卷大表'!E144,'体验问卷大表'!E146,'体验问卷大表'!E148,'体验问卷大表'!E150)</ns0:f>
        <ns0:v>3</ns0:v>
      </ns0:c>
      <ns0:c r="F152" s="40" t="n">
        <ns0:f>SUM('体验问卷大表'!F142,'体验问卷大表'!F144,'体验问卷大表'!F146,'体验问卷大表'!F148,'体验问卷大表'!F150)</ns0:f>
        <ns0:v>3</ns0:v>
      </ns0:c>
      <ns0:c r="G152" s="45" t="n">
        <ns0:f>SUM('体验问卷大表'!G142,'体验问卷大表'!G144,'体验问卷大表'!G146,'体验问卷大表'!G148,'体验问卷大表'!G150)</ns0:f>
        <ns0:v>3.0000000000000004</ns0:v>
      </ns0:c>
      <ns0:c r="H152" s="40" t="n">
        <ns0:f>SUM('体验问卷大表'!H142,'体验问卷大表'!H144,'体验问卷大表'!H146,'体验问卷大表'!H148,'体验问卷大表'!H150)</ns0:f>
        <ns0:v>3</ns0:v>
      </ns0:c>
      <ns0:c r="I152" s="45" t="n">
        <ns0:f>SUM('体验问卷大表'!I142,'体验问卷大表'!I144,'体验问卷大表'!I146,'体验问卷大表'!I148,'体验问卷大表'!I150)</ns0:f>
        <ns0:v>3</ns0:v>
      </ns0:c>
      <ns0:c r="J152" s="40" t="n">
        <ns0:f>SUM('体验问卷大表'!J142,'体验问卷大表'!J144,'体验问卷大表'!J146,'体验问卷大表'!J148,'体验问卷大表'!J150)</ns0:f>
        <ns0:v>3</ns0:v>
      </ns0:c>
      <ns0:c r="K152" s="45" t="n">
        <ns0:f>SUM('体验问卷大表'!K142,'体验问卷大表'!K144,'体验问卷大表'!K146,'体验问卷大表'!K148,'体验问卷大表'!K150)</ns0:f>
        <ns0:v>2.9999999999999996</ns0:v>
      </ns0:c>
      <ns0:c r="L152" s="40" t="n">
        <ns0:f>SUM('体验问卷大表'!L142,'体验问卷大表'!L144,'体验问卷大表'!L146,'体验问卷大表'!L148,'体验问卷大表'!L150)</ns0:f>
        <ns0:v>2.9999999999999996</ns0:v>
      </ns0:c>
      <ns0:c r="M152" s="45" t="n">
        <ns0:f>SUM('体验问卷大表'!M142,'体验问卷大表'!M144,'体验问卷大表'!M146,'体验问卷大表'!M148,'体验问卷大表'!M150)</ns0:f>
        <ns0:v>3.0000000000000004</ns0:v>
      </ns0:c>
      <ns0:c r="N152" s="40" t="n">
        <ns0:f>SUM('体验问卷大表'!N142,'体验问卷大表'!N144,'体验问卷大表'!N146,'体验问卷大表'!N148,'体验问卷大表'!N150)</ns0:f>
        <ns0:v>3</ns0:v>
      </ns0:c>
      <ns0:c r="O152" s="45" t="n">
        <ns0:f>SUM('体验问卷大表'!O142,'体验问卷大表'!O144,'体验问卷大表'!O146,'体验问卷大表'!O148,'体验问卷大表'!O150)</ns0:f>
        <ns0:v>3</ns0:v>
      </ns0:c>
      <ns0:c r="P152" s="40" t="n">
        <ns0:f>SUM('体验问卷大表'!P142,'体验问卷大表'!P144,'体验问卷大表'!P146,'体验问卷大表'!P148,'体验问卷大表'!P150)</ns0:f>
        <ns0:v>3</ns0:v>
      </ns0:c>
    </ns0:row>
    <ns0:row r="155" ht="24" customHeight="1">
      <ns0:c r="A155" s="17" t="str">
        <ns0:v>开放反馈</ns0:v>
      </ns0:c>
      <ns0:c r="B155" s="18" t="str">
        <ns0:v>返回目录</ns0:v>
      </ns0:c>
      <ns0:c r="C155" s="17"/>
      <ns0:c r="D155" s="17"/>
      <ns0:c r="E155" s="17"/>
      <ns0:c r="F155" s="17"/>
      <ns0:c r="G155" s="17"/>
      <ns0:c r="H155" s="17"/>
      <ns0:c r="I155" s="17"/>
      <ns0:c r="J155" s="17"/>
      <ns0:c r="K155" s="17"/>
      <ns0:c r="L155" s="17"/>
      <ns0:c r="M155" s="17"/>
      <ns0:c r="N155" s="17"/>
      <ns0:c r="O155" s="17"/>
      <ns0:c r="P155" s="17"/>
    </ns0:row>
    <ns0:row r="156" ht="22" customHeight="1">
      <ns0:c r="A156" s="10" t="str">
        <ns0:v>分组族</ns0:v>
      </ns0:c>
      <ns0:c r="B156" s="11" t="str">
        <ns0:v>总体</ns0:v>
      </ns0:c>
      <ns0:c r="C156" s="41" t="str">
        <ns0:v>玩家经验互斥</ns0:v>
      </ns0:c>
      <ns0:c r="D156" s="12"/>
      <ns0:c r="E156" s="12"/>
      <ns0:c r="F156" s="12"/>
      <ns0:c r="G156" s="46" t="str">
        <ns0:v>参与平台</ns0:v>
      </ns0:c>
      <ns0:c r="H156" s="13"/>
      <ns0:c r="I156" s="48" t="str">
        <ns0:v>满意度分层</ns0:v>
      </ns0:c>
      <ns0:c r="J156" s="14"/>
      <ns0:c r="K156" s="48" t="str">
        <ns0:v>上手表现分层</ns0:v>
      </ns0:c>
      <ns0:c r="L156" s="14"/>
      <ns0:c r="M156" s="48" t="str">
        <ns0:v>继续游玩分层</ns0:v>
      </ns0:c>
      <ns0:c r="N156" s="14"/>
      <ns0:c r="O156" s="48" t="str">
        <ns0:v>推荐意愿分层</ns0:v>
      </ns0:c>
      <ns0:c r="P156" s="14"/>
    </ns0:row>
    <ns0:row r="157" ht="44" customHeight="1">
      <ns0:c r="A157" s="10" t="str">
        <ns0:v>选项 / 指标</ns0:v>
      </ns0:c>
      <ns0:c r="B157" s="11" t="str">
        <ns0:v>Total</ns0:v>
      </ns0:c>
      <ns0:c r="C157" s="41" t="str">
        <ns0:v>横版动作核心 (A)</ns0:v>
      </ns0:c>
      <ns0:c r="D157" s="12" t="str">
        <ns0:v>二游ARPG (B)</ns0:v>
      </ns0:c>
      <ns0:c r="E157" s="12" t="str">
        <ns0:v>银河恶魔城 (C)</ns0:v>
      </ns0:c>
      <ns0:c r="F157" s="12" t="str">
        <ns0:v>泛用户 (D)</ns0:v>
      </ns0:c>
      <ns0:c r="G157" s="46" t="str">
        <ns0:v>移动端 (A)</ns0:v>
      </ns0:c>
      <ns0:c r="H157" s="13" t="str">
        <ns0:v>PC/主机 (B)</ns0:v>
      </ns0:c>
      <ns0:c r="I157" s="48" t="str">
        <ns0:v>高满意（4–5分） (A)</ns0:v>
      </ns0:c>
      <ns0:c r="J157" s="14" t="str">
        <ns0:v>非高满意（1–3分） (B)</ns0:v>
      </ns0:c>
      <ns0:c r="K157" s="48" t="str">
        <ns0:v>容易上手（4–5分） (A)</ns0:v>
      </ns0:c>
      <ns0:c r="L157" s="14" t="str">
        <ns0:v>非容易上手（1–3分） (B)</ns0:v>
      </ns0:c>
      <ns0:c r="M157" s="48" t="str">
        <ns0:v>高意愿（4–5分） (A)</ns0:v>
      </ns0:c>
      <ns0:c r="N157" s="14" t="str">
        <ns0:v>非高意愿（1–3分） (B)</ns0:v>
      </ns0:c>
      <ns0:c r="O157" s="48" t="str">
        <ns0:v>推荐者（9–10分） (A)</ns0:v>
      </ns0:c>
      <ns0:c r="P157" s="14" t="str">
        <ns0:v>非推荐者（0–8分） (B)</ns0:v>
      </ns0:c>
    </ns0:row>
    <ns0:row r="158">
      <ns0:c r="A158" s="20" t="str">
        <ns0:v>基数（n）：有效回答该题</ns0:v>
      </ns0:c>
      <ns0:c r="B158" s="21" t="n">
        <ns0:v>114</ns0:v>
      </ns0:c>
      <ns0:c r="C158" s="42" t="n">
        <ns0:v>43</ns0:v>
      </ns0:c>
      <ns0:c r="D158" s="22" t="n">
        <ns0:v>26</ns0:v>
      </ns0:c>
      <ns0:c r="E158" s="22" t="n">
        <ns0:v>15</ns0:v>
      </ns0:c>
      <ns0:c r="F158" s="21" t="n">
        <ns0:v>30</ns0:v>
      </ns0:c>
      <ns0:c r="G158" s="42" t="n">
        <ns0:v>63</ns0:v>
      </ns0:c>
      <ns0:c r="H158" s="21" t="n">
        <ns0:v>51</ns0:v>
      </ns0:c>
      <ns0:c r="I158" s="42" t="n">
        <ns0:v>63</ns0:v>
      </ns0:c>
      <ns0:c r="J158" s="21" t="n">
        <ns0:v>51</ns0:v>
      </ns0:c>
      <ns0:c r="K158" s="42" t="n">
        <ns0:v>44</ns0:v>
      </ns0:c>
      <ns0:c r="L158" s="21" t="n">
        <ns0:v>65</ns0:v>
      </ns0:c>
      <ns0:c r="M158" s="42" t="n">
        <ns0:v>45</ns0:v>
      </ns0:c>
      <ns0:c r="N158" s="21" t="n">
        <ns0:v>69</ns0:v>
      </ns0:c>
      <ns0:c r="O158" s="42" t="n">
        <ns0:v>45</ns0:v>
      </ns0:c>
      <ns0:c r="P158" s="21" t="n">
        <ns0:v>66</ns0:v>
      </ns0:c>
    </ns0:row>
    <ns0:row r="159" ht="26" customHeight="1">
      <ns0:c r="A159" s="25" t="str">
        <ns0:v>[Q10].你对后续优化还有哪些建议？</ns0:v>
      </ns0:c>
      <ns0:c r="B159" s="25"/>
      <ns0:c r="C159" s="85"/>
      <ns0:c r="D159" s="25"/>
      <ns0:c r="E159" s="25"/>
      <ns0:c r="F159" s="25"/>
      <ns0:c r="G159" s="85"/>
      <ns0:c r="H159" s="25"/>
      <ns0:c r="I159" s="85"/>
      <ns0:c r="J159" s="25"/>
      <ns0:c r="K159" s="85"/>
      <ns0:c r="L159" s="25"/>
      <ns0:c r="M159" s="85"/>
      <ns0:c r="N159" s="25"/>
      <ns0:c r="O159" s="85"/>
      <ns0:c r="P159" s="25"/>
    </ns0:row>
  </ns0:sheetData>
  <ns0:mergeCells>
    <ns0:mergeCell ref="A1:J1"/>
    <ns0:mergeCell ref="A2:J2"/>
    <ns0:mergeCell ref="C3:F3"/>
    <ns0:mergeCell ref="G3:H3"/>
    <ns0:mergeCell ref="I3:J3"/>
    <ns0:mergeCell ref="K3:L3"/>
    <ns0:mergeCell ref="M3:N3"/>
    <ns0:mergeCell ref="O3:P3"/>
    <ns0:mergeCell ref="C7:F7"/>
    <ns0:mergeCell ref="G7:H7"/>
    <ns0:mergeCell ref="I7:J7"/>
    <ns0:mergeCell ref="K7:L7"/>
    <ns0:mergeCell ref="M7:N7"/>
    <ns0:mergeCell ref="O7:P7"/>
    <ns0:mergeCell ref="A10:J10"/>
    <ns0:mergeCell ref="C17:F17"/>
    <ns0:mergeCell ref="G17:H17"/>
    <ns0:mergeCell ref="I17:J17"/>
    <ns0:mergeCell ref="K17:L17"/>
    <ns0:mergeCell ref="M17:N17"/>
    <ns0:mergeCell ref="O17:P17"/>
    <ns0:mergeCell ref="A20:J20"/>
    <ns0:mergeCell ref="C29:F29"/>
    <ns0:mergeCell ref="G29:H29"/>
    <ns0:mergeCell ref="I29:J29"/>
    <ns0:mergeCell ref="K29:L29"/>
    <ns0:mergeCell ref="M29:N29"/>
    <ns0:mergeCell ref="O29:P29"/>
    <ns0:mergeCell ref="A32:J32"/>
    <ns0:mergeCell ref="C45:F45"/>
    <ns0:mergeCell ref="G45:H45"/>
    <ns0:mergeCell ref="I45:J45"/>
    <ns0:mergeCell ref="K45:L45"/>
    <ns0:mergeCell ref="M45:N45"/>
    <ns0:mergeCell ref="O45:P45"/>
    <ns0:mergeCell ref="A48:J48"/>
    <ns0:mergeCell ref="C61:F61"/>
    <ns0:mergeCell ref="G61:H61"/>
    <ns0:mergeCell ref="I61:J61"/>
    <ns0:mergeCell ref="K61:L61"/>
    <ns0:mergeCell ref="M61:N61"/>
    <ns0:mergeCell ref="O61:P61"/>
    <ns0:mergeCell ref="A64:J64"/>
    <ns0:mergeCell ref="C77:F77"/>
    <ns0:mergeCell ref="G77:H77"/>
    <ns0:mergeCell ref="I77:J77"/>
    <ns0:mergeCell ref="K77:L77"/>
    <ns0:mergeCell ref="M77:N77"/>
    <ns0:mergeCell ref="O77:P77"/>
    <ns0:mergeCell ref="A80:J80"/>
    <ns0:mergeCell ref="C92:F92"/>
    <ns0:mergeCell ref="G92:H92"/>
    <ns0:mergeCell ref="I92:J92"/>
    <ns0:mergeCell ref="K92:L92"/>
    <ns0:mergeCell ref="M92:N92"/>
    <ns0:mergeCell ref="O92:P92"/>
    <ns0:mergeCell ref="A95:J95"/>
    <ns0:mergeCell ref="C126:F126"/>
    <ns0:mergeCell ref="G126:H126"/>
    <ns0:mergeCell ref="I126:J126"/>
    <ns0:mergeCell ref="K126:L126"/>
    <ns0:mergeCell ref="M126:N126"/>
    <ns0:mergeCell ref="O126:P126"/>
    <ns0:mergeCell ref="A129:J129"/>
    <ns0:mergeCell ref="C138:F138"/>
    <ns0:mergeCell ref="G138:H138"/>
    <ns0:mergeCell ref="I138:J138"/>
    <ns0:mergeCell ref="K138:L138"/>
    <ns0:mergeCell ref="M138:N138"/>
    <ns0:mergeCell ref="O138:P138"/>
    <ns0:mergeCell ref="A141:J141"/>
    <ns0:mergeCell ref="C156:F156"/>
    <ns0:mergeCell ref="G156:H156"/>
    <ns0:mergeCell ref="I156:J156"/>
    <ns0:mergeCell ref="K156:L156"/>
    <ns0:mergeCell ref="M156:N156"/>
    <ns0:mergeCell ref="O156:P156"/>
    <ns0:mergeCell ref="A159:J159"/>
  </ns0:mergeCells>
  <ns0:hyperlinks>
    <ns0:hyperlink ref="B6" location="'Index'!A2"/>
    <ns0:hyperlink ref="B16" location="'Index'!A3"/>
    <ns0:hyperlink ref="B28" location="'Index'!A4"/>
    <ns0:hyperlink ref="B44" location="'Index'!A5"/>
    <ns0:hyperlink ref="B60" location="'Index'!A6"/>
    <ns0:hyperlink ref="B76" location="'Index'!A7"/>
    <ns0:hyperlink ref="B91" location="'Index'!A8"/>
    <ns0:hyperlink ref="B125" location="'Index'!A9"/>
    <ns0:hyperlink ref="B137" location="'Index'!A10"/>
    <ns0:hyperlink ref="B155" location="'Index'!A11"/>
  </ns0:hyperlinks>
  <ns0:pageMargins left="0.7" right="0.7" top="0.75" bottom="0.75" header="0.3" footer="0.3"/>
</ns0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108" hidden="0" customWidth="1"/>
  </x:cols>
  <x:sheetData>
    <x:row r="1" ht="30" customHeight="1">
      <x:c r="A1" s="2" t="str">
        <x:v>本次数表口径</x:v>
      </x:c>
      <x:c r="B1" s="2"/>
    </x:row>
    <x:row r="3" ht="26" customHeight="1">
      <x:c r="A3" s="240" t="str">
        <x:v>项目</x:v>
      </x:c>
      <x:c r="B3" s="240" t="str">
        <x:v>本次采用的规则</x:v>
      </x:c>
    </x:row>
    <x:row r="4" ht="34" customHeight="1">
      <x:c r="A4" s="236" t="str">
        <x:v>问卷</x:v>
      </x:c>
      <x:c r="B4" s="236" t="str">
        <x:v>《星港计划》概念测试体验问卷（合成案例）</x:v>
      </x:c>
    </x:row>
    <x:row r="5" ht="34" customHeight="1">
      <x:c r="A5" s="236" t="str">
        <x:v>版本</x:v>
      </x:c>
      <x:c r="B5" s="236" t="str">
        <x:v>2.0.0 / crosstabs-v2-verified-20260908</x:v>
      </x:c>
    </x:row>
    <x:row r="6" ht="34" customHeight="1">
      <x:c r="A6" s="236" t="str">
        <x:v>来源</x:v>
      </x:c>
      <x:c r="B6" s="236" t="str">
        <x:v>仓库内合成演示数据，不来自真实问卷星账号</x:v>
      </x:c>
    </x:row>
    <x:row r="7" ht="34" customHeight="1">
      <x:c r="A7" s="236" t="str">
        <x:v>样本</x:v>
      </x:c>
      <x:c r="B7" s="236" t="str">
        <x:v>清洗前 180，剔除 0，保留 180</x:v>
      </x:c>
    </x:row>
    <x:row r="8" ht="34" customHeight="1">
      <x:c r="A8" s="236" t="str">
        <x:v>关联规则</x:v>
      </x:c>
      <x:c r="B8" s="236" t="str">
        <x:v>本次未使用外部画像关联</x:v>
      </x:c>
    </x:row>
    <x:row r="9" ht="34" customHeight="1">
      <x:c r="A9" s="236" t="str">
        <x:v>显著性</x:v>
      </x:c>
      <x:c r="B9" s="236" t="str">
        <x:v>同族比较；双侧 p &lt; 0.1；比例原始人数检验；Mean / NPS / 平均名次使用 Welch 检验</x:v>
      </x:c>
    </x:row>
    <x:row r="10" ht="34" customHeight="1">
      <x:c r="A10" s="236" t="str">
        <x:v>颜色含义</x:v>
      </x:c>
      <x:c r="B10" s="236" t="str">
        <x:v>青色、紫色字母表示显著更高，不等于更好；黄色表示显著低于同族全部可比组</x:v>
      </x:c>
    </x:row>
    <x:row r="11" ht="34" customHeight="1">
      <x:c r="A11" s="236" t="str">
        <x:v>指标方向</x:v>
      </x:c>
      <x:c r="B11" s="236" t="str">
        <x:v>↑ 越高越好；↓ 越低越好。未标方向的指标不预设好坏</x:v>
      </x:c>
    </x:row>
    <x:row r="12" ht="34" customHeight="1">
      <x:c r="A12" s="236" t="str">
        <x:v>低基数</x:v>
      </x:c>
      <x:c r="B12" s="236" t="str">
        <x:v>† 有效 n &lt; 30，仅提示；检验最低 n = 0（0表示不额外限制）</x:v>
      </x:c>
    </x:row>
    <x:row r="13" ht="34" customHeight="1">
      <x:c r="A13" s="236" t="str">
        <x:v>定义性分组</x:v>
      </x:c>
      <x:c r="B13" s="236" t="str">
        <x:v>‡ 表示该题参与了分组定义；其自交叉差异不作为新的研究发现</x:v>
      </x:c>
    </x:row>
    <x:row r="14" ht="34" customHeight="1">
      <x:c r="A14" s="236" t="str">
        <x:v>重叠分组</x:v>
      </x:c>
      <x:c r="B14" s="236" t="str">
        <x:v>按实际成员检查，未发现同族人群重叠</x:v>
      </x:c>
    </x:row>
    <x:row r="15" ht="34" customHeight="1">
      <x:c r="A15" s="236" t="str">
        <x:v>评分和箱体指标</x:v>
      </x:c>
      <x:c r="B15" s="236" t="str">
        <x:v>Mean、T2B/B2B 使用有效评分样本；非评分选项保留在分布，排除于评分指标分母。矩阵每个子题独立计算</x:v>
      </x:c>
    </x:row>
    <x:row r="16" ht="34" customHeight="1">
      <x:c r="A16" s="236" t="str">
        <x:v>NPS</x:v>
      </x:c>
      <x:c r="B16" s="236" t="str">
        <x:v>item_value 原生整数 0–10；批评者0–6、中立者7–8、推荐者9–10；推荐者减批评者，范围−100～100</x:v>
      </x:c>
    </x:row>
    <x:row r="17" ht="34" customHeight="1">
      <x:c r="A17" s="236" t="str">
        <x:v>排序</x:v>
      </x:c>
      <x:c r="B17" s="236" t="str">
        <x:v>未启用排序，保留问卷选项顺序</x:v>
      </x:c>
    </x:row>
    <x:row r="18" ht="34" customHeight="1">
      <x:c r="A18" s="236" t="str">
        <x:v>数据更新</x:v>
      </x:c>
      <x:c r="B18" s="236" t="str">
        <x:v>更换源答卷或口径后重新运行；概览下拉只切换已计算的分群，不能替代重跑统计</x:v>
      </x:c>
    </x:row>
    <x:row r="19" ht="34" customHeight="1">
      <x:c r="A19" s="236" t="str">
        <x:v>开放题</x:v>
      </x:c>
      <x:c r="B19" s="236" t="str">
        <x:v>按实际题型仅保留是否作答，不输出正文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55" hidden="0" customWidth="1"/>
    <x:col min="3" max="3" width="22" hidden="0" customWidth="1"/>
    <x:col min="4" max="4" width="70" hidden="0" customWidth="1"/>
  </x:cols>
  <x:sheetData>
    <x:row r="1" ht="30" customHeight="1">
      <x:c r="A1" s="2" t="str">
        <x:v>变量与分群定义</x:v>
      </x:c>
      <x:c r="B1" s="2"/>
      <x:c r="C1" s="2"/>
      <x:c r="D1" s="2"/>
    </x:row>
    <x:row r="3" ht="26" customHeight="1">
      <x:c r="A3" s="240" t="str">
        <x:v>题号/分组</x:v>
      </x:c>
      <x:c r="B3" s="240" t="str">
        <x:v>名称</x:v>
      </x:c>
      <x:c r="C3" s="240" t="str">
        <x:v>类型/取值</x:v>
      </x:c>
      <x:c r="D3" s="240" t="str">
        <x:v>口径</x:v>
      </x:c>
    </x:row>
    <x:row r="4" ht="34" customHeight="1">
      <x:c r="A4" s="236" t="str">
        <x:v>Q1</x:v>
      </x:c>
      <x:c r="B4" s="236" t="str">
        <x:v>本次测试主要使用的平台是？</x:v>
      </x:c>
      <x:c r="C4" s="236" t="str">
        <x:v>单选</x:v>
      </x:c>
      <x:c r="D4" s="236" t="str">
        <x:v>按问卷原选项统计</x:v>
      </x:c>
    </x:row>
    <x:row r="5" ht="34" customHeight="1">
      <x:c r="A5" s="236" t="str">
        <x:v>Q2</x:v>
      </x:c>
      <x:c r="B5" s="236" t="str">
        <x:v>以下哪类游戏经验最符合你？</x:v>
      </x:c>
      <x:c r="C5" s="236" t="str">
        <x:v>单选</x:v>
      </x:c>
      <x:c r="D5" s="236" t="str">
        <x:v>按问卷原选项统计</x:v>
      </x:c>
    </x:row>
    <x:row r="6" ht="34" customHeight="1">
      <x:c r="A6" s="236" t="str">
        <x:v>Q3</x:v>
      </x:c>
      <x:c r="B6" s="236" t="str">
        <x:v>你对本次测试的整体满意度如何？</x:v>
      </x:c>
      <x:c r="C6" s="236" t="str">
        <x:v>评分</x:v>
      </x:c>
      <x:c r="D6" s="236" t="str">
        <x:v>选项1 → 1分；选项2 → 2分；选项3 → 3分；选项4 → 4分；选项5 → 5分</x:v>
      </x:c>
    </x:row>
    <x:row r="7" ht="34" customHeight="1">
      <x:c r="A7" s="236" t="str">
        <x:v>Q4</x:v>
      </x:c>
      <x:c r="B7" s="236" t="str">
        <x:v>你认为游戏是否容易上手？</x:v>
      </x:c>
      <x:c r="C7" s="236" t="str">
        <x:v>评分</x:v>
      </x:c>
      <x:c r="D7" s="236" t="str">
        <x:v>选项1 → 1分；选项2 → 2分；选项3 → 3分；选项4 → 4分；选项5 → 5分</x:v>
      </x:c>
    </x:row>
    <x:row r="8" ht="34" customHeight="1">
      <x:c r="A8" s="236" t="str">
        <x:v>Q5</x:v>
      </x:c>
      <x:c r="B8" s="236" t="str">
        <x:v>正式上线后，你继续游玩的意愿如何？</x:v>
      </x:c>
      <x:c r="C8" s="236" t="str">
        <x:v>评分</x:v>
      </x:c>
      <x:c r="D8" s="236" t="str">
        <x:v>选项1 → 1分；选项2 → 2分；选项3 → 3分；选项4 → 4分；选项5 → 5分</x:v>
      </x:c>
    </x:row>
    <x:row r="9" ht="34" customHeight="1">
      <x:c r="A9" s="236" t="str">
        <x:v>Q6</x:v>
      </x:c>
      <x:c r="B9" s="236" t="str">
        <x:v>本次体验中，你认为做得较好的部分有哪些？</x:v>
      </x:c>
      <x:c r="C9" s="236" t="str">
        <x:v>多选</x:v>
      </x:c>
      <x:c r="D9" s="236" t="str">
        <x:v>按问卷原选项统计</x:v>
      </x:c>
    </x:row>
    <x:row r="10" ht="34" customHeight="1">
      <x:c r="A10" s="236" t="str">
        <x:v>Q7</x:v>
      </x:c>
      <x:c r="B10" s="236" t="str">
        <x:v>请评价以下体验模块。</x:v>
      </x:c>
      <x:c r="C10" s="236" t="str">
        <x:v>矩阵评分</x:v>
      </x:c>
      <x:c r="D10" s="236" t="str">
        <x:v>选项1 → 1分；选项2 → 2分；选项3 → 3分；选项4 → 4分；选项5 → 5分</x:v>
      </x:c>
    </x:row>
    <x:row r="11" ht="34" customHeight="1">
      <x:c r="A11" s="236" t="str">
        <x:v>Q8</x:v>
      </x:c>
      <x:c r="B11" s="236" t="str">
        <x:v>你有多大可能向朋友推荐这款游戏？</x:v>
      </x:c>
      <x:c r="C11" s="236" t="str">
        <x:v>NPS</x:v>
      </x:c>
      <x:c r="D11" s="236" t="str">
        <x:v>按问卷原选项统计</x:v>
      </x:c>
    </x:row>
    <x:row r="12" ht="34" customHeight="1">
      <x:c r="A12" s="236" t="str">
        <x:v>Q9</x:v>
      </x:c>
      <x:c r="B12" s="236" t="str">
        <x:v>请选出最希望优先优化的三项并排序。</x:v>
      </x:c>
      <x:c r="C12" s="236" t="str">
        <x:v>排序</x:v>
      </x:c>
      <x:c r="D12" s="236" t="str">
        <x:v>按问卷原选项统计</x:v>
      </x:c>
    </x:row>
    <x:row r="13" ht="34" customHeight="1">
      <x:c r="A13" s="236" t="str">
        <x:v>Q10</x:v>
      </x:c>
      <x:c r="B13" s="236" t="str">
        <x:v>你对后续优化还有哪些建议？</x:v>
      </x:c>
      <x:c r="C13" s="236" t="str">
        <x:v>开放题</x:v>
      </x:c>
      <x:c r="D13" s="236" t="str">
        <x:v>按问卷原选项统计</x:v>
      </x:c>
    </x:row>
    <x:row r="14" ht="34" customHeight="1">
      <x:c r="A14" s="236" t="str">
        <x:v>参与平台</x:v>
      </x:c>
      <x:c r="B14" s="236" t="str">
        <x:v>Q1</x:v>
      </x:c>
      <x:c r="C14" s="236" t="str">
        <x:v>问卷原生分群</x:v>
      </x:c>
      <x:c r="D14" s="236" t="str">
        <x:v>按原始选项分别入组；多选可重叠</x:v>
      </x:c>
    </x:row>
    <x:row r="15" ht="34" customHeight="1">
      <x:c r="A15" s="236" t="str">
        <x:v>玩家经验互斥</x:v>
      </x:c>
      <x:c r="B15" s="236" t="str">
        <x:v>Q2</x:v>
      </x:c>
      <x:c r="C15" s="236" t="str">
        <x:v>问卷原生分群</x:v>
      </x:c>
      <x:c r="D15" s="236" t="str">
        <x:v>按原始选项分别入组；多选可重叠</x:v>
      </x:c>
    </x:row>
    <x:row r="16" ht="34" customHeight="1">
      <x:c r="A16" s="236" t="str">
        <x:v>满意度分层</x:v>
      </x:c>
      <x:c r="B16" s="236" t="str">
        <x:v>Q3</x:v>
      </x:c>
      <x:c r="C16" s="236" t="str">
        <x:v>选项编码</x:v>
      </x:c>
      <x:c r="D16" s="236" t="str">
        <x:v>高满意（4–5分）：Q3 取值 4、5；非高满意（1–3分）：Q3 取值 1、2、3</x:v>
      </x:c>
    </x:row>
    <x:row r="17" ht="34" customHeight="1">
      <x:c r="A17" s="236" t="str">
        <x:v>上手表现分层</x:v>
      </x:c>
      <x:c r="B17" s="236" t="str">
        <x:v>Q4</x:v>
      </x:c>
      <x:c r="C17" s="236" t="str">
        <x:v>选项编码</x:v>
      </x:c>
      <x:c r="D17" s="236" t="str">
        <x:v>容易上手（4–5分）：Q4 取值 4、5；非容易上手（1–3分）：Q4 取值 1、2、3</x:v>
      </x:c>
    </x:row>
    <x:row r="18" ht="34" customHeight="1">
      <x:c r="A18" s="236" t="str">
        <x:v>继续游玩分层</x:v>
      </x:c>
      <x:c r="B18" s="236" t="str">
        <x:v>Q5</x:v>
      </x:c>
      <x:c r="C18" s="236" t="str">
        <x:v>选项编码</x:v>
      </x:c>
      <x:c r="D18" s="236" t="str">
        <x:v>高意愿（4–5分）：Q5 取值 4、5；非高意愿（1–3分）：Q5 取值 1、2、3</x:v>
      </x:c>
    </x:row>
    <x:row r="19" ht="34" customHeight="1">
      <x:c r="A19" s="236" t="str">
        <x:v>推荐意愿分层</x:v>
      </x:c>
      <x:c r="B19" s="236" t="str">
        <x:v>Q8</x:v>
      </x:c>
      <x:c r="C19" s="236" t="str">
        <x:v>原始数值</x:v>
      </x:c>
      <x:c r="D19" s="236" t="str">
        <x:v>推荐者（9–10分）：Q8 ≥ 9 且 ≤ 10；非推荐者（0–8分）：Q8 ≥ 0 且 ≤ 8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90" hidden="0" customWidth="1"/>
  </x:cols>
  <x:sheetData>
    <x:row r="1" ht="30" customHeight="1">
      <x:c r="A1" s="2" t="str">
        <x:v>数据质量</x:v>
      </x:c>
      <x:c r="B1" s="2"/>
      <x:c r="C1" s="2"/>
    </x:row>
    <x:row r="3" ht="26" customHeight="1">
      <x:c r="A3" s="240" t="str">
        <x:v>检查项</x:v>
      </x:c>
      <x:c r="B3" s="240" t="str">
        <x:v>结果</x:v>
      </x:c>
      <x:c r="C3" s="240" t="str">
        <x:v>说明</x:v>
      </x:c>
    </x:row>
    <x:row r="4" ht="34" customHeight="1">
      <x:c r="A4" s="236" t="str">
        <x:v>有效样本</x:v>
      </x:c>
      <x:c r="B4" s="236" t="n">
        <x:v>180</x:v>
      </x:c>
      <x:c r="C4" s="236" t="str">
        <x:v>进入分析的唯一匿名答卷</x:v>
      </x:c>
    </x:row>
    <x:row r="5" ht="34" customHeight="1">
      <x:c r="A5" s="236" t="str">
        <x:v>清洗剔除</x:v>
      </x:c>
      <x:c r="B5" s="236" t="n">
        <x:v>0</x:v>
      </x:c>
      <x:c r="C5" s="236" t="str">
        <x:v>没有剔除答卷</x:v>
      </x:c>
    </x:row>
    <x:row r="6" ht="34" customHeight="1">
      <x:c r="A6" s="236" t="str">
        <x:v>关联覆盖</x:v>
      </x:c>
      <x:c r="B6" s="236" t="str">
        <x:v>未关联</x:v>
      </x:c>
      <x:c r="C6" s="236" t="str">
        <x:v>画像分组的有效匹配数</x:v>
      </x:c>
    </x:row>
    <x:row r="7" ht="34" customHeight="1">
      <x:c r="A7" s="236" t="str">
        <x:v>低基数阈值</x:v>
      </x:c>
      <x:c r="B7" s="236" t="n">
        <x:v>30</x:v>
      </x:c>
      <x:c r="C7" s="236" t="str">
        <x:v>每个指标按自身有效样本提示</x:v>
      </x:c>
    </x:row>
    <x:row r="8" ht="34" customHeight="1">
      <x:c r="A8" s="236" t="str">
        <x:v>排序</x:v>
      </x:c>
      <x:c r="B8" s="236" t="str">
        <x:v>原序</x:v>
      </x:c>
      <x:c r="C8" s="236" t="str">
        <x:v>默认不排序</x:v>
      </x:c>
    </x:row>
    <x:row r="9" ht="34" customHeight="1">
      <x:c r="A9" s="236" t="str">
        <x:v>Q1 基数</x:v>
      </x:c>
      <x:c r="B9" s="236" t="n">
        <x:v>180</x:v>
      </x:c>
      <x:c r="C9" s="236" t="str">
        <x:v>有效回答人数</x:v>
      </x:c>
    </x:row>
    <x:row r="10" ht="34" customHeight="1">
      <x:c r="A10" s="236" t="str">
        <x:v>Q2 基数</x:v>
      </x:c>
      <x:c r="B10" s="236" t="n">
        <x:v>180</x:v>
      </x:c>
      <x:c r="C10" s="236" t="str">
        <x:v>有效回答人数</x:v>
      </x:c>
    </x:row>
    <x:row r="11" ht="34" customHeight="1">
      <x:c r="A11" s="236" t="str">
        <x:v>Q3 基数</x:v>
      </x:c>
      <x:c r="B11" s="236" t="n">
        <x:v>180</x:v>
      </x:c>
      <x:c r="C11" s="236" t="str">
        <x:v>有效回答人数</x:v>
      </x:c>
    </x:row>
    <x:row r="12" ht="34" customHeight="1">
      <x:c r="A12" s="236" t="str">
        <x:v>Q4 基数</x:v>
      </x:c>
      <x:c r="B12" s="236" t="n">
        <x:v>174</x:v>
      </x:c>
      <x:c r="C12" s="236" t="str">
        <x:v>有效回答人数</x:v>
      </x:c>
    </x:row>
    <x:row r="13" ht="34" customHeight="1">
      <x:c r="A13" s="236" t="str">
        <x:v>Q5 基数</x:v>
      </x:c>
      <x:c r="B13" s="236" t="n">
        <x:v>180</x:v>
      </x:c>
      <x:c r="C13" s="236" t="str">
        <x:v>有效回答人数</x:v>
      </x:c>
    </x:row>
    <x:row r="14" ht="34" customHeight="1">
      <x:c r="A14" s="236" t="str">
        <x:v>Q6 基数</x:v>
      </x:c>
      <x:c r="B14" s="236" t="n">
        <x:v>180</x:v>
      </x:c>
      <x:c r="C14" s="236" t="str">
        <x:v>有效回答人数</x:v>
      </x:c>
    </x:row>
    <x:row r="15" ht="34" customHeight="1">
      <x:c r="A15" s="236" t="str">
        <x:v>Q7 基数</x:v>
      </x:c>
      <x:c r="B15" s="236" t="n">
        <x:v>180</x:v>
      </x:c>
      <x:c r="C15" s="236" t="str">
        <x:v>有效回答人数</x:v>
      </x:c>
    </x:row>
    <x:row r="16" ht="34" customHeight="1">
      <x:c r="A16" s="236" t="str">
        <x:v>Q8 基数</x:v>
      </x:c>
      <x:c r="B16" s="236" t="n">
        <x:v>175</x:v>
      </x:c>
      <x:c r="C16" s="236" t="str">
        <x:v>有效回答人数</x:v>
      </x:c>
    </x:row>
    <x:row r="17" ht="34" customHeight="1">
      <x:c r="A17" s="236" t="str">
        <x:v>Q9 基数</x:v>
      </x:c>
      <x:c r="B17" s="236" t="n">
        <x:v>180</x:v>
      </x:c>
      <x:c r="C17" s="236" t="str">
        <x:v>有效回答人数</x:v>
      </x:c>
    </x:row>
    <x:row r="18" ht="34" customHeight="1">
      <x:c r="A18" s="236" t="str">
        <x:v>Q10 基数</x:v>
      </x:c>
      <x:c r="B18" s="236" t="n">
        <x:v>114</x:v>
      </x:c>
      <x:c r="C18" s="236" t="str">
        <x:v>有效回答人数</x:v>
      </x:c>
    </x:row>
  </x:sheetData>
  <x:mergeCells>
    <x:mergeCell ref="A1:C1"/>
  </x:mergeCells>
  <x:pageMargins left="0.7" right="0.7" top="0.75" bottom="0.75" header="0.3" footer="0.3"/>
</x:worksheet>
</file>